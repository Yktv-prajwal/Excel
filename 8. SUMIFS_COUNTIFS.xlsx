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a5881142b36ba0d/Desktop/"/>
    </mc:Choice>
  </mc:AlternateContent>
  <xr:revisionPtr revIDLastSave="109" documentId="11_D4386DDB9A193D17C64E7D3D84390FC4F9917408" xr6:coauthVersionLast="47" xr6:coauthVersionMax="47" xr10:uidLastSave="{FBF09DCB-BEA8-45F5-B2B6-9137B8B90AF0}"/>
  <bookViews>
    <workbookView xWindow="-108" yWindow="-108" windowWidth="23256" windowHeight="13176" activeTab="5" xr2:uid="{00000000-000D-0000-FFFF-FFFF00000000}"/>
  </bookViews>
  <sheets>
    <sheet name="EX1" sheetId="4" r:id="rId1"/>
    <sheet name="EX2" sheetId="5" r:id="rId2"/>
    <sheet name="EX3" sheetId="9" r:id="rId3"/>
    <sheet name="EX4" sheetId="6" r:id="rId4"/>
    <sheet name="EX5" sheetId="7" r:id="rId5"/>
    <sheet name="explanation" sheetId="8" r:id="rId6"/>
  </sheets>
  <definedNames>
    <definedName name="_xlcn.WorksheetConnection_T9A2C16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9" l="1"/>
  <c r="F6" i="7"/>
  <c r="F7" i="7"/>
  <c r="F5" i="7"/>
  <c r="J6" i="6"/>
  <c r="J5" i="6"/>
  <c r="J4" i="6"/>
  <c r="G11" i="6"/>
  <c r="G12" i="6"/>
  <c r="G10" i="6"/>
  <c r="G6" i="6"/>
  <c r="G7" i="6"/>
  <c r="G5" i="6"/>
  <c r="K16" i="9"/>
  <c r="K2" i="9"/>
  <c r="L3" i="9"/>
  <c r="L4" i="9"/>
  <c r="L5" i="9"/>
  <c r="L6" i="9"/>
  <c r="L7" i="9"/>
  <c r="L8" i="9"/>
  <c r="L9" i="9"/>
  <c r="L10" i="9"/>
  <c r="L2" i="9"/>
  <c r="K3" i="9"/>
  <c r="K4" i="9"/>
  <c r="K5" i="9"/>
  <c r="K6" i="9"/>
  <c r="K7" i="9"/>
  <c r="K8" i="9"/>
  <c r="K9" i="9"/>
  <c r="K10" i="9"/>
  <c r="I4" i="5"/>
  <c r="H12" i="5"/>
  <c r="H11" i="5"/>
  <c r="H10" i="5"/>
  <c r="J7" i="5"/>
  <c r="J6" i="5"/>
  <c r="J5" i="5"/>
  <c r="J4" i="5"/>
  <c r="H7" i="5"/>
  <c r="H6" i="5"/>
  <c r="H5" i="5"/>
  <c r="H4" i="5"/>
  <c r="I7" i="5"/>
  <c r="I6" i="5"/>
  <c r="I5" i="5"/>
  <c r="J13" i="4"/>
  <c r="J12" i="4"/>
  <c r="J11" i="4"/>
  <c r="J7" i="4"/>
  <c r="J6" i="4"/>
  <c r="J5" i="4"/>
  <c r="C16" i="7"/>
</calcChain>
</file>

<file path=xl/sharedStrings.xml><?xml version="1.0" encoding="utf-8"?>
<sst xmlns="http://schemas.openxmlformats.org/spreadsheetml/2006/main" count="231" uniqueCount="87">
  <si>
    <t>Month</t>
  </si>
  <si>
    <t>Feb</t>
  </si>
  <si>
    <t>Jan</t>
  </si>
  <si>
    <t>Mar</t>
  </si>
  <si>
    <t>Apr</t>
  </si>
  <si>
    <t>May</t>
  </si>
  <si>
    <t>SUMIFS, AVERAGEIFS &amp; COUNTIFS</t>
  </si>
  <si>
    <t>Product</t>
  </si>
  <si>
    <t>Country</t>
  </si>
  <si>
    <t>Sales Revenue</t>
  </si>
  <si>
    <t>Shirt white</t>
  </si>
  <si>
    <t>USA</t>
  </si>
  <si>
    <t>Find total sales for the below criteria:</t>
  </si>
  <si>
    <t>Shirt blue</t>
  </si>
  <si>
    <t>Find out how many shirts were sold for the below criteria:</t>
  </si>
  <si>
    <t>Shirt yellow</t>
  </si>
  <si>
    <t>UK</t>
  </si>
  <si>
    <t>Less than equal to</t>
  </si>
  <si>
    <t>Pen</t>
  </si>
  <si>
    <t>Lower than</t>
  </si>
  <si>
    <t>Paper</t>
  </si>
  <si>
    <t>Greater than</t>
  </si>
  <si>
    <t>Glue</t>
  </si>
  <si>
    <t>Qty</t>
  </si>
  <si>
    <t>Post-it</t>
  </si>
  <si>
    <t>No of Transaction</t>
  </si>
  <si>
    <t>Total</t>
  </si>
  <si>
    <t>Price</t>
  </si>
  <si>
    <t>Date</t>
  </si>
  <si>
    <t>Sales of the month</t>
  </si>
  <si>
    <t>Mango</t>
  </si>
  <si>
    <t>Grapes</t>
  </si>
  <si>
    <t>Apple</t>
  </si>
  <si>
    <t>Orange</t>
  </si>
  <si>
    <t>Sumif</t>
  </si>
  <si>
    <t>Item</t>
  </si>
  <si>
    <t>Countblank</t>
  </si>
  <si>
    <t>counta</t>
  </si>
  <si>
    <t>Count</t>
  </si>
  <si>
    <t>Countif</t>
  </si>
  <si>
    <t>Item (Per KG)</t>
  </si>
  <si>
    <t>COUNTIF and SUMIF Combination</t>
  </si>
  <si>
    <t>Averageif</t>
  </si>
  <si>
    <t>Determining Average Price</t>
  </si>
  <si>
    <t>Sum ?</t>
  </si>
  <si>
    <t>Count ?</t>
  </si>
  <si>
    <t>Last date</t>
  </si>
  <si>
    <t>First date</t>
  </si>
  <si>
    <t>Garcia</t>
  </si>
  <si>
    <t>Name</t>
  </si>
  <si>
    <t>CD-Rom</t>
  </si>
  <si>
    <t>Las Vegas</t>
  </si>
  <si>
    <t>Nevada</t>
  </si>
  <si>
    <t>Yang</t>
  </si>
  <si>
    <t>DVD-Rom</t>
  </si>
  <si>
    <t>Dallas</t>
  </si>
  <si>
    <t>Texas</t>
  </si>
  <si>
    <t>Charlton</t>
  </si>
  <si>
    <t>Hard drive</t>
  </si>
  <si>
    <t>Boulard</t>
  </si>
  <si>
    <t>Clé USB</t>
  </si>
  <si>
    <t>Brown</t>
  </si>
  <si>
    <t>Yokuchi</t>
  </si>
  <si>
    <t>Julian</t>
  </si>
  <si>
    <t>Keyboard</t>
  </si>
  <si>
    <t>Boston</t>
  </si>
  <si>
    <t>Massachussets</t>
  </si>
  <si>
    <t>Smart Card</t>
  </si>
  <si>
    <t>Mitron</t>
  </si>
  <si>
    <t>Los Angeles</t>
  </si>
  <si>
    <t>California</t>
  </si>
  <si>
    <t>Smith</t>
  </si>
  <si>
    <t>San Jose</t>
  </si>
  <si>
    <t>Sum</t>
  </si>
  <si>
    <t>&gt;=1500</t>
  </si>
  <si>
    <t>Unit Price</t>
  </si>
  <si>
    <t>Quantity</t>
  </si>
  <si>
    <t>City</t>
  </si>
  <si>
    <t>State</t>
  </si>
  <si>
    <t>Count formula only counts the cells with numbers and not the cells with text, blank cells</t>
  </si>
  <si>
    <t>Counta formula includes cells with numbers as well as text cells, it will not count blank cells</t>
  </si>
  <si>
    <t>Countblank formula only counts the blank cells</t>
  </si>
  <si>
    <t>sumif</t>
  </si>
  <si>
    <t>(criteria range, criteria, sum range)</t>
  </si>
  <si>
    <t>sumifs</t>
  </si>
  <si>
    <t>(sum range, criteria range 1, criteria 1, criteria range 2, criteria 2 and this goes on till  "n" criteria)</t>
  </si>
  <si>
    <t xml:space="preserve">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</si>
</sst>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23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2" borderId="0" xfId="0" applyFont="1" applyFill="1"/>
    <xf numFmtId="0" fontId="1" fillId="0" borderId="0" xfId="0" applyFont="1"/>
    <xf numFmtId="0" fontId="0" fillId="0" borderId="2" xfId="0" applyBorder="1"/>
    <xf numFmtId="14" fontId="0" fillId="0" borderId="2" xfId="0" applyNumberFormat="1" applyBorder="1"/>
    <xf numFmtId="0" fontId="1" fillId="0" borderId="2" xfId="0" applyFont="1" applyBorder="1"/>
    <xf numFmtId="0" fontId="5" fillId="0" borderId="0" xfId="2"/>
    <xf numFmtId="0" fontId="6" fillId="0" borderId="0" xfId="2" applyFont="1" applyAlignment="1">
      <alignment horizontal="center" vertical="center"/>
    </xf>
    <xf numFmtId="164" fontId="7" fillId="0" borderId="3" xfId="2" applyNumberFormat="1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4" borderId="0" xfId="2" applyFont="1" applyFill="1" applyAlignment="1">
      <alignment horizontal="left" vertical="center"/>
    </xf>
    <xf numFmtId="164" fontId="6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14" fontId="1" fillId="0" borderId="2" xfId="0" applyNumberFormat="1" applyFont="1" applyBorder="1"/>
    <xf numFmtId="0" fontId="1" fillId="0" borderId="5" xfId="0" applyFont="1" applyBorder="1"/>
    <xf numFmtId="0" fontId="4" fillId="0" borderId="2" xfId="0" applyFont="1" applyBorder="1" applyAlignment="1">
      <alignment horizontal="center"/>
    </xf>
    <xf numFmtId="0" fontId="11" fillId="5" borderId="4" xfId="2" applyFont="1" applyFill="1" applyBorder="1" applyAlignment="1">
      <alignment horizontal="center" vertical="center"/>
    </xf>
    <xf numFmtId="0" fontId="10" fillId="0" borderId="4" xfId="2" applyFont="1" applyBorder="1"/>
    <xf numFmtId="0" fontId="0" fillId="0" borderId="0" xfId="0" applyNumberFormat="1"/>
  </cellXfs>
  <cellStyles count="3">
    <cellStyle name="Normal" xfId="0" builtinId="0"/>
    <cellStyle name="Normal 2" xfId="2" xr:uid="{00000000-0005-0000-0000-000001000000}"/>
    <cellStyle name="Normal 3 15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N22"/>
  <sheetViews>
    <sheetView topLeftCell="A2" zoomScale="110" zoomScaleNormal="110" workbookViewId="0">
      <selection activeCell="N14" sqref="N14"/>
    </sheetView>
  </sheetViews>
  <sheetFormatPr defaultColWidth="9" defaultRowHeight="14.4" x14ac:dyDescent="0.3"/>
  <cols>
    <col min="2" max="2" width="11.5546875" bestFit="1" customWidth="1"/>
    <col min="4" max="4" width="14" bestFit="1" customWidth="1"/>
    <col min="7" max="7" width="6.44140625" customWidth="1"/>
    <col min="8" max="8" width="10.6640625" bestFit="1" customWidth="1"/>
    <col min="10" max="10" width="10.5546875" bestFit="1" customWidth="1"/>
  </cols>
  <sheetData>
    <row r="1" spans="1:14" ht="16.5" customHeight="1" x14ac:dyDescent="0.35">
      <c r="A1" s="1" t="s">
        <v>6</v>
      </c>
      <c r="B1" s="2"/>
      <c r="C1" s="2"/>
      <c r="D1" s="2"/>
      <c r="E1" s="2"/>
      <c r="F1" s="2"/>
      <c r="G1" s="2"/>
    </row>
    <row r="3" spans="1:14" x14ac:dyDescent="0.3">
      <c r="A3" s="3" t="s">
        <v>0</v>
      </c>
      <c r="B3" s="3" t="s">
        <v>7</v>
      </c>
      <c r="C3" s="3" t="s">
        <v>8</v>
      </c>
      <c r="D3" s="3" t="s">
        <v>9</v>
      </c>
    </row>
    <row r="4" spans="1:14" x14ac:dyDescent="0.3">
      <c r="A4" t="s">
        <v>2</v>
      </c>
      <c r="B4" t="s">
        <v>10</v>
      </c>
      <c r="C4" t="s">
        <v>11</v>
      </c>
      <c r="D4">
        <v>546</v>
      </c>
      <c r="G4" s="4" t="s">
        <v>12</v>
      </c>
    </row>
    <row r="5" spans="1:14" x14ac:dyDescent="0.3">
      <c r="A5" t="s">
        <v>2</v>
      </c>
      <c r="B5" t="s">
        <v>13</v>
      </c>
      <c r="C5" t="s">
        <v>11</v>
      </c>
      <c r="D5">
        <v>519</v>
      </c>
      <c r="G5" t="s">
        <v>16</v>
      </c>
      <c r="J5" s="22">
        <f>SUMIF(C4:C22,G5,D4:D22)</f>
        <v>2653</v>
      </c>
    </row>
    <row r="6" spans="1:14" x14ac:dyDescent="0.3">
      <c r="A6" t="s">
        <v>1</v>
      </c>
      <c r="B6" t="s">
        <v>10</v>
      </c>
      <c r="C6" t="s">
        <v>11</v>
      </c>
      <c r="D6">
        <v>492</v>
      </c>
      <c r="G6" t="s">
        <v>3</v>
      </c>
      <c r="H6" t="s">
        <v>10</v>
      </c>
      <c r="J6">
        <f>SUMIFS(D4:D22,A4:A22,G6,B4:B22,H6)</f>
        <v>435</v>
      </c>
    </row>
    <row r="7" spans="1:14" x14ac:dyDescent="0.3">
      <c r="A7" t="s">
        <v>1</v>
      </c>
      <c r="B7" t="s">
        <v>13</v>
      </c>
      <c r="C7" t="s">
        <v>11</v>
      </c>
      <c r="D7">
        <v>559</v>
      </c>
      <c r="G7" t="s">
        <v>1</v>
      </c>
      <c r="H7" t="s">
        <v>10</v>
      </c>
      <c r="I7" t="s">
        <v>16</v>
      </c>
      <c r="J7">
        <f>SUMIFS(D4:D22,A4:A22,G7,B4:B22,H7,C4:C22,I7)</f>
        <v>410</v>
      </c>
    </row>
    <row r="8" spans="1:14" x14ac:dyDescent="0.3">
      <c r="A8" t="s">
        <v>1</v>
      </c>
      <c r="B8" t="s">
        <v>10</v>
      </c>
      <c r="C8" t="s">
        <v>11</v>
      </c>
      <c r="D8">
        <v>591</v>
      </c>
    </row>
    <row r="9" spans="1:14" x14ac:dyDescent="0.3">
      <c r="A9" t="s">
        <v>1</v>
      </c>
      <c r="B9" t="s">
        <v>10</v>
      </c>
      <c r="C9" t="s">
        <v>11</v>
      </c>
      <c r="D9">
        <v>535</v>
      </c>
    </row>
    <row r="10" spans="1:14" x14ac:dyDescent="0.3">
      <c r="A10" t="s">
        <v>1</v>
      </c>
      <c r="B10" t="s">
        <v>13</v>
      </c>
      <c r="C10" t="s">
        <v>11</v>
      </c>
      <c r="D10">
        <v>550</v>
      </c>
      <c r="G10" s="4" t="s">
        <v>14</v>
      </c>
    </row>
    <row r="11" spans="1:14" x14ac:dyDescent="0.3">
      <c r="A11" t="s">
        <v>1</v>
      </c>
      <c r="B11" t="s">
        <v>15</v>
      </c>
      <c r="C11" t="s">
        <v>11</v>
      </c>
      <c r="D11">
        <v>517</v>
      </c>
      <c r="G11" t="s">
        <v>4</v>
      </c>
      <c r="J11">
        <f>COUNTIF(A4:A22,G11)</f>
        <v>5</v>
      </c>
    </row>
    <row r="12" spans="1:14" x14ac:dyDescent="0.3">
      <c r="A12" t="s">
        <v>1</v>
      </c>
      <c r="B12" t="s">
        <v>13</v>
      </c>
      <c r="C12" t="s">
        <v>16</v>
      </c>
      <c r="D12">
        <v>449</v>
      </c>
      <c r="G12" t="s">
        <v>1</v>
      </c>
      <c r="H12" t="s">
        <v>10</v>
      </c>
      <c r="J12">
        <f>COUNTIFS(A4:A22,G12,B4:B22,H12)</f>
        <v>4</v>
      </c>
    </row>
    <row r="13" spans="1:14" x14ac:dyDescent="0.3">
      <c r="A13" t="s">
        <v>1</v>
      </c>
      <c r="B13" t="s">
        <v>10</v>
      </c>
      <c r="C13" t="s">
        <v>16</v>
      </c>
      <c r="D13">
        <v>410</v>
      </c>
      <c r="G13" t="s">
        <v>1</v>
      </c>
      <c r="H13" t="s">
        <v>10</v>
      </c>
      <c r="I13" t="s">
        <v>11</v>
      </c>
      <c r="J13">
        <f>COUNTIFS(A4:A22,G13,B4:B22,H13,C4:C22,I13)</f>
        <v>3</v>
      </c>
    </row>
    <row r="14" spans="1:14" x14ac:dyDescent="0.3">
      <c r="A14" t="s">
        <v>3</v>
      </c>
      <c r="B14" t="s">
        <v>10</v>
      </c>
      <c r="C14" t="s">
        <v>16</v>
      </c>
      <c r="D14">
        <v>435</v>
      </c>
      <c r="N14" t="s">
        <v>86</v>
      </c>
    </row>
    <row r="15" spans="1:14" x14ac:dyDescent="0.3">
      <c r="A15" t="s">
        <v>3</v>
      </c>
      <c r="B15" t="s">
        <v>15</v>
      </c>
      <c r="C15" t="s">
        <v>11</v>
      </c>
      <c r="D15">
        <v>468</v>
      </c>
    </row>
    <row r="16" spans="1:14" x14ac:dyDescent="0.3">
      <c r="A16" t="s">
        <v>4</v>
      </c>
      <c r="B16" t="s">
        <v>13</v>
      </c>
      <c r="C16" t="s">
        <v>11</v>
      </c>
      <c r="D16">
        <v>568</v>
      </c>
    </row>
    <row r="17" spans="1:4" x14ac:dyDescent="0.3">
      <c r="A17" t="s">
        <v>4</v>
      </c>
      <c r="B17" t="s">
        <v>10</v>
      </c>
      <c r="C17" t="s">
        <v>11</v>
      </c>
      <c r="D17">
        <v>432</v>
      </c>
    </row>
    <row r="18" spans="1:4" x14ac:dyDescent="0.3">
      <c r="A18" t="s">
        <v>4</v>
      </c>
      <c r="B18" t="s">
        <v>10</v>
      </c>
      <c r="C18" t="s">
        <v>11</v>
      </c>
      <c r="D18">
        <v>431</v>
      </c>
    </row>
    <row r="19" spans="1:4" x14ac:dyDescent="0.3">
      <c r="A19" t="s">
        <v>4</v>
      </c>
      <c r="B19" t="s">
        <v>13</v>
      </c>
      <c r="C19" t="s">
        <v>16</v>
      </c>
      <c r="D19">
        <v>479</v>
      </c>
    </row>
    <row r="20" spans="1:4" x14ac:dyDescent="0.3">
      <c r="A20" t="s">
        <v>4</v>
      </c>
      <c r="B20" t="s">
        <v>15</v>
      </c>
      <c r="C20" t="s">
        <v>16</v>
      </c>
      <c r="D20">
        <v>471</v>
      </c>
    </row>
    <row r="21" spans="1:4" x14ac:dyDescent="0.3">
      <c r="A21" t="s">
        <v>5</v>
      </c>
      <c r="B21" t="s">
        <v>15</v>
      </c>
      <c r="C21" t="s">
        <v>11</v>
      </c>
      <c r="D21">
        <v>534</v>
      </c>
    </row>
    <row r="22" spans="1:4" x14ac:dyDescent="0.3">
      <c r="A22" t="s">
        <v>5</v>
      </c>
      <c r="B22" t="s">
        <v>10</v>
      </c>
      <c r="C22" t="s">
        <v>16</v>
      </c>
      <c r="D22">
        <v>409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>
      <selection activeCell="H11" sqref="H11"/>
    </sheetView>
  </sheetViews>
  <sheetFormatPr defaultRowHeight="14.4" x14ac:dyDescent="0.3"/>
  <cols>
    <col min="1" max="1" width="17.88671875" bestFit="1" customWidth="1"/>
    <col min="7" max="7" width="12.109375" bestFit="1" customWidth="1"/>
    <col min="9" max="9" width="17" bestFit="1" customWidth="1"/>
    <col min="10" max="10" width="16.5546875" bestFit="1" customWidth="1"/>
  </cols>
  <sheetData>
    <row r="1" spans="1:10" ht="18" x14ac:dyDescent="0.35">
      <c r="A1" s="19" t="s">
        <v>29</v>
      </c>
      <c r="B1" s="19"/>
      <c r="C1" s="19"/>
      <c r="D1" s="19"/>
      <c r="E1" s="19"/>
    </row>
    <row r="2" spans="1:10" x14ac:dyDescent="0.3">
      <c r="A2" s="7" t="s">
        <v>28</v>
      </c>
      <c r="B2" s="7" t="s">
        <v>7</v>
      </c>
      <c r="C2" s="7" t="s">
        <v>23</v>
      </c>
      <c r="D2" s="7" t="s">
        <v>27</v>
      </c>
      <c r="E2" s="7" t="s">
        <v>26</v>
      </c>
    </row>
    <row r="3" spans="1:10" x14ac:dyDescent="0.3">
      <c r="A3" s="6">
        <v>41863</v>
      </c>
      <c r="B3" s="5" t="s">
        <v>18</v>
      </c>
      <c r="C3" s="5">
        <v>75</v>
      </c>
      <c r="D3" s="5">
        <v>1.5</v>
      </c>
      <c r="E3" s="5">
        <v>112.5</v>
      </c>
      <c r="G3" s="5"/>
      <c r="H3" s="7" t="s">
        <v>23</v>
      </c>
      <c r="I3" s="7" t="s">
        <v>26</v>
      </c>
      <c r="J3" s="5" t="s">
        <v>25</v>
      </c>
    </row>
    <row r="4" spans="1:10" x14ac:dyDescent="0.3">
      <c r="A4" s="6">
        <v>41864</v>
      </c>
      <c r="B4" s="5" t="s">
        <v>24</v>
      </c>
      <c r="C4" s="5">
        <v>15</v>
      </c>
      <c r="D4" s="5">
        <v>4</v>
      </c>
      <c r="E4" s="5">
        <v>60</v>
      </c>
      <c r="G4" s="5" t="s">
        <v>18</v>
      </c>
      <c r="H4" s="5">
        <f>SUMIF(B3:B12,G4,C3:C12)</f>
        <v>245</v>
      </c>
      <c r="I4" s="5">
        <f>SUMIF(B3:B12,G4,E3:E12)</f>
        <v>367.5</v>
      </c>
      <c r="J4" s="5">
        <f>COUNTIF(B3:B12,G4)</f>
        <v>4</v>
      </c>
    </row>
    <row r="5" spans="1:10" x14ac:dyDescent="0.3">
      <c r="A5" s="6">
        <v>41865</v>
      </c>
      <c r="B5" s="5" t="s">
        <v>20</v>
      </c>
      <c r="C5" s="5">
        <v>200</v>
      </c>
      <c r="D5" s="5">
        <v>10</v>
      </c>
      <c r="E5" s="5">
        <v>2000</v>
      </c>
      <c r="G5" s="5" t="s">
        <v>24</v>
      </c>
      <c r="H5" s="5">
        <f>SUMIF(B3:B12,G5,C3:C12)</f>
        <v>45</v>
      </c>
      <c r="I5" s="5">
        <f>SUMIF(B3:B12,G5,E3:E12)</f>
        <v>180</v>
      </c>
      <c r="J5" s="5">
        <f>COUNTIF(B3:B12,G5)</f>
        <v>2</v>
      </c>
    </row>
    <row r="6" spans="1:10" x14ac:dyDescent="0.3">
      <c r="A6" s="6">
        <v>41866</v>
      </c>
      <c r="B6" s="5" t="s">
        <v>18</v>
      </c>
      <c r="C6" s="5">
        <v>50</v>
      </c>
      <c r="D6" s="5">
        <v>1.5</v>
      </c>
      <c r="E6" s="5">
        <v>75</v>
      </c>
      <c r="G6" s="5" t="s">
        <v>20</v>
      </c>
      <c r="H6" s="5">
        <f>SUMIF(B3:B12,G6,C3:C12)</f>
        <v>250</v>
      </c>
      <c r="I6" s="5">
        <f>SUMIF(B3:B12,G6,E3:E12)</f>
        <v>2500</v>
      </c>
      <c r="J6" s="5">
        <f>COUNTIF(B3:B12,G6)</f>
        <v>2</v>
      </c>
    </row>
    <row r="7" spans="1:10" x14ac:dyDescent="0.3">
      <c r="A7" s="6">
        <v>41867</v>
      </c>
      <c r="B7" s="5" t="s">
        <v>22</v>
      </c>
      <c r="C7" s="5">
        <v>30</v>
      </c>
      <c r="D7" s="5">
        <v>3</v>
      </c>
      <c r="E7" s="5">
        <v>90</v>
      </c>
      <c r="G7" s="5" t="s">
        <v>22</v>
      </c>
      <c r="H7" s="5">
        <f>SUMIF(B3:B12,G7,C3:C12)</f>
        <v>70</v>
      </c>
      <c r="I7" s="5">
        <f>SUMIF(B3:B12,G7,E3:E12)</f>
        <v>210</v>
      </c>
      <c r="J7" s="5">
        <f>COUNTIF(B3:B12,G7)</f>
        <v>2</v>
      </c>
    </row>
    <row r="8" spans="1:10" x14ac:dyDescent="0.3">
      <c r="A8" s="6">
        <v>41868</v>
      </c>
      <c r="B8" s="5" t="s">
        <v>18</v>
      </c>
      <c r="C8" s="5">
        <v>100</v>
      </c>
      <c r="D8" s="5">
        <v>1.5</v>
      </c>
      <c r="E8" s="5">
        <v>150</v>
      </c>
    </row>
    <row r="9" spans="1:10" x14ac:dyDescent="0.3">
      <c r="A9" s="6">
        <v>41869</v>
      </c>
      <c r="B9" s="5" t="s">
        <v>24</v>
      </c>
      <c r="C9" s="5">
        <v>30</v>
      </c>
      <c r="D9" s="5">
        <v>4</v>
      </c>
      <c r="E9" s="5">
        <v>120</v>
      </c>
      <c r="G9" s="5"/>
      <c r="H9" s="7" t="s">
        <v>23</v>
      </c>
      <c r="I9" s="5"/>
    </row>
    <row r="10" spans="1:10" x14ac:dyDescent="0.3">
      <c r="A10" s="6">
        <v>41870</v>
      </c>
      <c r="B10" s="5" t="s">
        <v>22</v>
      </c>
      <c r="C10" s="5">
        <v>40</v>
      </c>
      <c r="D10" s="5">
        <v>3</v>
      </c>
      <c r="E10" s="5">
        <v>120</v>
      </c>
      <c r="G10" s="6">
        <v>41866</v>
      </c>
      <c r="H10" s="5">
        <f>SUMIF($A$3:$A$12,"&gt;15-08-2014",C3:C12)</f>
        <v>270</v>
      </c>
      <c r="I10" s="5" t="s">
        <v>21</v>
      </c>
    </row>
    <row r="11" spans="1:10" x14ac:dyDescent="0.3">
      <c r="A11" s="6">
        <v>41871</v>
      </c>
      <c r="B11" s="5" t="s">
        <v>20</v>
      </c>
      <c r="C11" s="5">
        <v>50</v>
      </c>
      <c r="D11" s="5">
        <v>10</v>
      </c>
      <c r="E11" s="5">
        <v>500</v>
      </c>
      <c r="G11" s="6">
        <v>41866</v>
      </c>
      <c r="H11" s="5">
        <f>SUMIF($A$3:$A$12,"&lt;15-08-2014",C3:C12)</f>
        <v>290</v>
      </c>
      <c r="I11" s="5" t="s">
        <v>19</v>
      </c>
    </row>
    <row r="12" spans="1:10" x14ac:dyDescent="0.3">
      <c r="A12" s="6">
        <v>41872</v>
      </c>
      <c r="B12" s="5" t="s">
        <v>18</v>
      </c>
      <c r="C12" s="5">
        <v>20</v>
      </c>
      <c r="D12" s="5">
        <v>1.5</v>
      </c>
      <c r="E12" s="5">
        <v>30</v>
      </c>
      <c r="G12" s="6">
        <v>41866</v>
      </c>
      <c r="H12" s="5">
        <f>SUMIF($A$3:$A$12,"&lt;=15-08-2014",C3:C12)</f>
        <v>340</v>
      </c>
      <c r="I12" s="5" t="s">
        <v>17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workbookViewId="0">
      <selection activeCell="K18" sqref="K18"/>
    </sheetView>
  </sheetViews>
  <sheetFormatPr defaultRowHeight="14.4" x14ac:dyDescent="0.3"/>
  <cols>
    <col min="1" max="1" width="10.44140625" bestFit="1" customWidth="1"/>
    <col min="3" max="3" width="13.21875" bestFit="1" customWidth="1"/>
    <col min="4" max="4" width="10.44140625" bestFit="1" customWidth="1"/>
    <col min="5" max="5" width="10" bestFit="1" customWidth="1"/>
    <col min="11" max="11" width="10.6640625" bestFit="1" customWidth="1"/>
  </cols>
  <sheetData>
    <row r="1" spans="1:15" x14ac:dyDescent="0.3">
      <c r="A1" s="7" t="s">
        <v>28</v>
      </c>
      <c r="B1" s="7" t="s">
        <v>49</v>
      </c>
      <c r="C1" s="7" t="s">
        <v>78</v>
      </c>
      <c r="D1" s="7" t="s">
        <v>77</v>
      </c>
      <c r="E1" s="7" t="s">
        <v>7</v>
      </c>
      <c r="F1" s="7" t="s">
        <v>76</v>
      </c>
      <c r="G1" s="7" t="s">
        <v>75</v>
      </c>
      <c r="H1" s="7" t="s">
        <v>26</v>
      </c>
      <c r="J1" s="7" t="s">
        <v>74</v>
      </c>
      <c r="K1" s="7" t="s">
        <v>38</v>
      </c>
      <c r="L1" s="7" t="s">
        <v>73</v>
      </c>
      <c r="M1" s="18"/>
      <c r="N1" s="18"/>
      <c r="O1" s="18"/>
    </row>
    <row r="2" spans="1:15" x14ac:dyDescent="0.3">
      <c r="A2" s="6">
        <v>39203</v>
      </c>
      <c r="B2" s="5" t="s">
        <v>68</v>
      </c>
      <c r="C2" s="5" t="s">
        <v>70</v>
      </c>
      <c r="D2" s="5" t="s">
        <v>72</v>
      </c>
      <c r="E2" s="5" t="s">
        <v>50</v>
      </c>
      <c r="F2" s="5">
        <v>64</v>
      </c>
      <c r="G2" s="5">
        <v>0.25</v>
      </c>
      <c r="H2" s="5">
        <v>16</v>
      </c>
      <c r="J2" s="7" t="s">
        <v>71</v>
      </c>
      <c r="K2" s="5">
        <f>COUNTIFS($B$2:$B$13,J2,$H$2:$H$13,$J$1)</f>
        <v>0</v>
      </c>
      <c r="L2" s="5">
        <f>SUMIFS($H$2:$H$13,$B$2:$B$13,J2,$H$2:$H$13,$J$1)</f>
        <v>0</v>
      </c>
    </row>
    <row r="3" spans="1:15" x14ac:dyDescent="0.3">
      <c r="A3" s="6">
        <v>39204</v>
      </c>
      <c r="B3" s="5" t="s">
        <v>71</v>
      </c>
      <c r="C3" s="5" t="s">
        <v>70</v>
      </c>
      <c r="D3" s="5" t="s">
        <v>69</v>
      </c>
      <c r="E3" s="5" t="s">
        <v>50</v>
      </c>
      <c r="F3" s="5">
        <v>152</v>
      </c>
      <c r="G3" s="5">
        <v>0.25</v>
      </c>
      <c r="H3" s="5">
        <v>38</v>
      </c>
      <c r="J3" s="7" t="s">
        <v>68</v>
      </c>
      <c r="K3" s="5">
        <f t="shared" ref="K3:K10" si="0">COUNTIFS($B$2:$B$13,J3,$H$2:$H$13,$J$1)</f>
        <v>0</v>
      </c>
      <c r="L3" s="5">
        <f t="shared" ref="L3:L10" si="1">SUMIFS($H$2:$H$13,$B$2:$B$13,J3,$H$2:$H$13,$J$1)</f>
        <v>0</v>
      </c>
    </row>
    <row r="4" spans="1:15" x14ac:dyDescent="0.3">
      <c r="A4" s="6">
        <v>39205</v>
      </c>
      <c r="B4" s="5" t="s">
        <v>48</v>
      </c>
      <c r="C4" s="5" t="s">
        <v>66</v>
      </c>
      <c r="D4" s="5" t="s">
        <v>65</v>
      </c>
      <c r="E4" s="5" t="s">
        <v>67</v>
      </c>
      <c r="F4" s="5">
        <v>282</v>
      </c>
      <c r="G4" s="5">
        <v>25.3</v>
      </c>
      <c r="H4" s="5">
        <v>7134.6</v>
      </c>
      <c r="J4" s="7" t="s">
        <v>48</v>
      </c>
      <c r="K4" s="5">
        <f t="shared" si="0"/>
        <v>1</v>
      </c>
      <c r="L4" s="5">
        <f t="shared" si="1"/>
        <v>7134.6</v>
      </c>
    </row>
    <row r="5" spans="1:15" x14ac:dyDescent="0.3">
      <c r="A5" s="6">
        <v>39206</v>
      </c>
      <c r="B5" s="5" t="s">
        <v>62</v>
      </c>
      <c r="C5" s="5" t="s">
        <v>56</v>
      </c>
      <c r="D5" s="5" t="s">
        <v>55</v>
      </c>
      <c r="E5" s="5" t="s">
        <v>54</v>
      </c>
      <c r="F5" s="5">
        <v>292</v>
      </c>
      <c r="G5" s="5">
        <v>0.55000000000000004</v>
      </c>
      <c r="H5" s="5">
        <v>160.6</v>
      </c>
      <c r="J5" s="7" t="s">
        <v>62</v>
      </c>
      <c r="K5" s="5">
        <f t="shared" si="0"/>
        <v>0</v>
      </c>
      <c r="L5" s="5">
        <f t="shared" si="1"/>
        <v>0</v>
      </c>
    </row>
    <row r="6" spans="1:15" x14ac:dyDescent="0.3">
      <c r="A6" s="6">
        <v>39207</v>
      </c>
      <c r="B6" s="5" t="s">
        <v>48</v>
      </c>
      <c r="C6" s="5" t="s">
        <v>66</v>
      </c>
      <c r="D6" s="5" t="s">
        <v>65</v>
      </c>
      <c r="E6" s="5" t="s">
        <v>54</v>
      </c>
      <c r="F6" s="5">
        <v>336</v>
      </c>
      <c r="G6" s="5">
        <v>0.55000000000000004</v>
      </c>
      <c r="H6" s="5">
        <v>184.8</v>
      </c>
      <c r="J6" s="7" t="s">
        <v>57</v>
      </c>
      <c r="K6" s="5">
        <f t="shared" si="0"/>
        <v>1</v>
      </c>
      <c r="L6" s="5">
        <f t="shared" si="1"/>
        <v>2482.5</v>
      </c>
    </row>
    <row r="7" spans="1:15" x14ac:dyDescent="0.3">
      <c r="A7" s="6">
        <v>39208</v>
      </c>
      <c r="B7" s="5" t="s">
        <v>48</v>
      </c>
      <c r="C7" s="5" t="s">
        <v>66</v>
      </c>
      <c r="D7" s="5" t="s">
        <v>65</v>
      </c>
      <c r="E7" s="5" t="s">
        <v>54</v>
      </c>
      <c r="F7" s="5">
        <v>304</v>
      </c>
      <c r="G7" s="5">
        <v>0.55000000000000004</v>
      </c>
      <c r="H7" s="5">
        <v>167.2</v>
      </c>
      <c r="J7" s="7" t="s">
        <v>53</v>
      </c>
      <c r="K7" s="5">
        <f t="shared" si="0"/>
        <v>2</v>
      </c>
      <c r="L7" s="5">
        <f t="shared" si="1"/>
        <v>15848.25</v>
      </c>
    </row>
    <row r="8" spans="1:15" x14ac:dyDescent="0.3">
      <c r="A8" s="6">
        <v>39209</v>
      </c>
      <c r="B8" s="5" t="s">
        <v>57</v>
      </c>
      <c r="C8" s="5" t="s">
        <v>56</v>
      </c>
      <c r="D8" s="5" t="s">
        <v>55</v>
      </c>
      <c r="E8" s="5" t="s">
        <v>64</v>
      </c>
      <c r="F8" s="5">
        <v>331</v>
      </c>
      <c r="G8" s="5">
        <v>7.5</v>
      </c>
      <c r="H8" s="5">
        <v>2482.5</v>
      </c>
      <c r="J8" s="7" t="s">
        <v>63</v>
      </c>
      <c r="K8" s="5">
        <f t="shared" si="0"/>
        <v>0</v>
      </c>
      <c r="L8" s="5">
        <f t="shared" si="1"/>
        <v>0</v>
      </c>
    </row>
    <row r="9" spans="1:15" x14ac:dyDescent="0.3">
      <c r="A9" s="6">
        <v>39210</v>
      </c>
      <c r="B9" s="5" t="s">
        <v>62</v>
      </c>
      <c r="C9" s="5" t="s">
        <v>56</v>
      </c>
      <c r="D9" s="5" t="s">
        <v>55</v>
      </c>
      <c r="E9" s="5" t="s">
        <v>50</v>
      </c>
      <c r="F9" s="5">
        <v>385</v>
      </c>
      <c r="G9" s="5">
        <v>0.25</v>
      </c>
      <c r="H9" s="5">
        <v>96.25</v>
      </c>
      <c r="J9" s="7" t="s">
        <v>61</v>
      </c>
      <c r="K9" s="5">
        <f t="shared" si="0"/>
        <v>0</v>
      </c>
      <c r="L9" s="5">
        <f t="shared" si="1"/>
        <v>0</v>
      </c>
    </row>
    <row r="10" spans="1:15" x14ac:dyDescent="0.3">
      <c r="A10" s="6">
        <v>39211</v>
      </c>
      <c r="B10" s="5" t="s">
        <v>53</v>
      </c>
      <c r="C10" s="5" t="s">
        <v>52</v>
      </c>
      <c r="D10" s="5" t="s">
        <v>51</v>
      </c>
      <c r="E10" s="5" t="s">
        <v>60</v>
      </c>
      <c r="F10" s="5">
        <v>285</v>
      </c>
      <c r="G10" s="5">
        <v>12.45</v>
      </c>
      <c r="H10" s="5">
        <v>3548.25</v>
      </c>
      <c r="J10" s="7" t="s">
        <v>59</v>
      </c>
      <c r="K10" s="5">
        <f t="shared" si="0"/>
        <v>0</v>
      </c>
      <c r="L10" s="5">
        <f t="shared" si="1"/>
        <v>0</v>
      </c>
    </row>
    <row r="11" spans="1:15" x14ac:dyDescent="0.3">
      <c r="A11" s="6">
        <v>39212</v>
      </c>
      <c r="B11" s="5" t="s">
        <v>53</v>
      </c>
      <c r="C11" s="5" t="s">
        <v>52</v>
      </c>
      <c r="D11" s="5" t="s">
        <v>51</v>
      </c>
      <c r="E11" s="5" t="s">
        <v>58</v>
      </c>
      <c r="F11" s="5">
        <v>164</v>
      </c>
      <c r="G11" s="5">
        <v>75</v>
      </c>
      <c r="H11" s="5">
        <v>12300</v>
      </c>
    </row>
    <row r="12" spans="1:15" x14ac:dyDescent="0.3">
      <c r="A12" s="6">
        <v>39213</v>
      </c>
      <c r="B12" s="5" t="s">
        <v>57</v>
      </c>
      <c r="C12" s="5" t="s">
        <v>56</v>
      </c>
      <c r="D12" s="5" t="s">
        <v>55</v>
      </c>
      <c r="E12" s="5" t="s">
        <v>54</v>
      </c>
      <c r="F12" s="5">
        <v>344</v>
      </c>
      <c r="G12" s="5">
        <v>0.55000000000000004</v>
      </c>
      <c r="H12" s="5">
        <v>189.2</v>
      </c>
    </row>
    <row r="13" spans="1:15" x14ac:dyDescent="0.3">
      <c r="A13" s="6">
        <v>39214</v>
      </c>
      <c r="B13" s="5" t="s">
        <v>53</v>
      </c>
      <c r="C13" s="5" t="s">
        <v>52</v>
      </c>
      <c r="D13" s="5" t="s">
        <v>51</v>
      </c>
      <c r="E13" s="5" t="s">
        <v>50</v>
      </c>
      <c r="F13" s="5">
        <v>53</v>
      </c>
      <c r="G13" s="5">
        <v>0.25</v>
      </c>
      <c r="H13" s="5">
        <v>13.25</v>
      </c>
      <c r="J13" s="7" t="s">
        <v>49</v>
      </c>
      <c r="K13" s="7" t="s">
        <v>48</v>
      </c>
    </row>
    <row r="14" spans="1:15" x14ac:dyDescent="0.3">
      <c r="J14" s="7" t="s">
        <v>47</v>
      </c>
      <c r="K14" s="17">
        <v>39206</v>
      </c>
    </row>
    <row r="15" spans="1:15" x14ac:dyDescent="0.3">
      <c r="J15" s="7" t="s">
        <v>46</v>
      </c>
      <c r="K15" s="17">
        <v>39210</v>
      </c>
    </row>
    <row r="16" spans="1:15" x14ac:dyDescent="0.3">
      <c r="J16" s="7" t="s">
        <v>45</v>
      </c>
      <c r="K16" s="5">
        <f>COUNTIFS(B2:B13,K13,A2:A13,"&gt;=04-05-2007",A2:A13,"&lt;=08-05-2007")</f>
        <v>2</v>
      </c>
    </row>
    <row r="17" spans="10:11" x14ac:dyDescent="0.3">
      <c r="J17" s="7" t="s">
        <v>44</v>
      </c>
      <c r="K17" s="5">
        <f>SUMIFS(H2:H13,B2:B13,K13,A2:A13,"&gt;=04-05-2007",A2:A13,"&lt;=08-05-2007")</f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>
      <selection activeCell="J7" sqref="J7"/>
    </sheetView>
  </sheetViews>
  <sheetFormatPr defaultColWidth="14.44140625" defaultRowHeight="15" customHeight="1" x14ac:dyDescent="0.3"/>
  <cols>
    <col min="1" max="1" width="2.44140625" style="8" customWidth="1"/>
    <col min="2" max="2" width="26.33203125" style="8" customWidth="1"/>
    <col min="3" max="3" width="23.109375" style="8" customWidth="1"/>
    <col min="4" max="4" width="13.33203125" style="8" customWidth="1"/>
    <col min="5" max="5" width="8.88671875" style="8" customWidth="1"/>
    <col min="6" max="6" width="14.88671875" style="8" customWidth="1"/>
    <col min="7" max="7" width="21.88671875" style="8" customWidth="1"/>
    <col min="8" max="8" width="20" style="8" customWidth="1"/>
    <col min="9" max="9" width="13.5546875" style="8" customWidth="1"/>
    <col min="10" max="26" width="8.88671875" style="8" customWidth="1"/>
    <col min="27" max="16384" width="14.44140625" style="8"/>
  </cols>
  <sheetData>
    <row r="1" spans="1:26" ht="19.5" customHeight="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9.5" customHeight="1" thickBot="1" x14ac:dyDescent="0.35">
      <c r="A2" s="9"/>
      <c r="B2" s="20" t="s">
        <v>41</v>
      </c>
      <c r="C2" s="21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9.5" customHeight="1" thickTop="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9.5" customHeight="1" x14ac:dyDescent="0.3">
      <c r="A4" s="9"/>
      <c r="B4" s="12" t="s">
        <v>40</v>
      </c>
      <c r="C4" s="12" t="s">
        <v>27</v>
      </c>
      <c r="D4" s="9"/>
      <c r="E4" s="9"/>
      <c r="F4" s="12" t="s">
        <v>35</v>
      </c>
      <c r="G4" s="12" t="s">
        <v>39</v>
      </c>
      <c r="H4" s="9"/>
      <c r="I4" s="13" t="s">
        <v>38</v>
      </c>
      <c r="J4" s="13">
        <f>COUNT(B5:C15)</f>
        <v>10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9.5" customHeight="1" x14ac:dyDescent="0.3">
      <c r="A5" s="9"/>
      <c r="B5" s="11" t="s">
        <v>32</v>
      </c>
      <c r="C5" s="10">
        <v>5</v>
      </c>
      <c r="D5" s="9"/>
      <c r="E5" s="9"/>
      <c r="F5" s="11" t="s">
        <v>32</v>
      </c>
      <c r="G5" s="11">
        <f>COUNTIF($B$5:$B$15,F5)</f>
        <v>6</v>
      </c>
      <c r="H5" s="9"/>
      <c r="I5" s="13" t="s">
        <v>37</v>
      </c>
      <c r="J5" s="13">
        <f>COUNTA(B5:C15)</f>
        <v>21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9.5" customHeight="1" x14ac:dyDescent="0.3">
      <c r="A6" s="9"/>
      <c r="B6" s="11" t="s">
        <v>32</v>
      </c>
      <c r="C6" s="10">
        <v>3.5</v>
      </c>
      <c r="D6" s="9"/>
      <c r="E6" s="9"/>
      <c r="F6" s="11" t="s">
        <v>31</v>
      </c>
      <c r="G6" s="11">
        <f t="shared" ref="G6:G7" si="0">COUNTIF($B$5:$B$15,F6)</f>
        <v>1</v>
      </c>
      <c r="H6" s="9"/>
      <c r="I6" s="13" t="s">
        <v>36</v>
      </c>
      <c r="J6" s="13">
        <f>COUNTBLANK(B5:C15)</f>
        <v>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9.5" customHeight="1" x14ac:dyDescent="0.3">
      <c r="A7" s="9"/>
      <c r="B7" s="11" t="s">
        <v>32</v>
      </c>
      <c r="C7" s="10">
        <v>4.5</v>
      </c>
      <c r="D7" s="9"/>
      <c r="E7" s="9"/>
      <c r="F7" s="11" t="s">
        <v>33</v>
      </c>
      <c r="G7" s="11">
        <f t="shared" si="0"/>
        <v>2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9.5" customHeight="1" x14ac:dyDescent="0.3">
      <c r="A8" s="9"/>
      <c r="B8" s="11" t="s">
        <v>33</v>
      </c>
      <c r="C8" s="10">
        <v>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9.5" customHeight="1" x14ac:dyDescent="0.3">
      <c r="A9" s="9"/>
      <c r="B9" s="11" t="s">
        <v>30</v>
      </c>
      <c r="C9" s="10"/>
      <c r="D9" s="9"/>
      <c r="E9" s="9"/>
      <c r="F9" s="12" t="s">
        <v>35</v>
      </c>
      <c r="G9" s="12" t="s">
        <v>34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9.5" customHeight="1" x14ac:dyDescent="0.3">
      <c r="A10" s="9"/>
      <c r="B10" s="11" t="s">
        <v>33</v>
      </c>
      <c r="C10" s="10">
        <v>4</v>
      </c>
      <c r="D10" s="9"/>
      <c r="E10" s="9"/>
      <c r="F10" s="11" t="s">
        <v>32</v>
      </c>
      <c r="G10" s="11">
        <f>SUMIF($B$5:$B$15,F10,$C$5:$C$15)</f>
        <v>24.3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9.5" customHeight="1" x14ac:dyDescent="0.3">
      <c r="A11" s="9"/>
      <c r="B11" s="11" t="s">
        <v>32</v>
      </c>
      <c r="C11" s="10">
        <v>3.5</v>
      </c>
      <c r="D11" s="9"/>
      <c r="E11" s="9"/>
      <c r="F11" s="11" t="s">
        <v>30</v>
      </c>
      <c r="G11" s="11">
        <f t="shared" ref="G11:G12" si="1">SUMIF($B$5:$B$15,F11,$C$5:$C$15)</f>
        <v>4.5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9.5" customHeight="1" x14ac:dyDescent="0.3">
      <c r="A12" s="9"/>
      <c r="B12" s="11" t="s">
        <v>32</v>
      </c>
      <c r="C12" s="10">
        <v>4.8</v>
      </c>
      <c r="D12" s="9"/>
      <c r="E12" s="9"/>
      <c r="F12" s="11" t="s">
        <v>33</v>
      </c>
      <c r="G12" s="11">
        <f t="shared" si="1"/>
        <v>10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9.5" customHeight="1" x14ac:dyDescent="0.3">
      <c r="A13" s="9"/>
      <c r="B13" s="11" t="s">
        <v>32</v>
      </c>
      <c r="C13" s="10">
        <v>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9.5" customHeight="1" x14ac:dyDescent="0.3">
      <c r="A14" s="9"/>
      <c r="B14" s="11" t="s">
        <v>31</v>
      </c>
      <c r="C14" s="10">
        <v>6.5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9.5" customHeight="1" x14ac:dyDescent="0.3">
      <c r="A15" s="9"/>
      <c r="B15" s="11" t="s">
        <v>30</v>
      </c>
      <c r="C15" s="10">
        <v>4.5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9.5" customHeight="1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9.5" customHeight="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9.5" customHeight="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9.5" customHeight="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9.5" customHeight="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9.5" customHeight="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9.5" customHeigh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9.5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9.5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9.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9.5" customHeigh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9.5" customHeight="1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9.5" customHeight="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9.5" customHeight="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9.5" customHeigh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9.5" customHeight="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9.5" customHeight="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9.5" customHeight="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9.5" customHeight="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9.5" customHeight="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9.5" customHeight="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9.5" customHeight="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9.5" customHeigh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9.5" customHeight="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9.5" customHeight="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9.5" customHeigh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9.5" customHeight="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9.5" customHeight="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9.5" customHeight="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9.5" customHeight="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9.5" customHeigh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9.5" customHeight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9.5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9.5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9.5" customHeight="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9.5" customHeight="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9.5" customHeight="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9.5" customHeight="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9.5" customHeight="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9.5" customHeight="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9.5" customHeight="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9.5" customHeight="1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9.5" customHeight="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9.5" customHeight="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9.5" customHeigh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9.5" customHeigh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9.5" customHeight="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9.5" customHeight="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9.5" customHeight="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9.5" customHeight="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9.5" customHeight="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9.5" customHeight="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9.5" customHeight="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9.5" customHeight="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9.5" customHeight="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9.5" customHeight="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9.5" customHeight="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9.5" customHeight="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9.5" customHeight="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9.5" customHeight="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9.5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9.5" customHeigh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9.5" customHeigh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9.5" customHeigh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9.5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9.5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9.5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9.5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9.5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9.5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9.5" customHeigh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9.5" customHeigh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9.5" customHeight="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9.5" customHeigh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9.5" customHeigh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9.5" customHeigh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9.5" customHeigh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9.5" customHeigh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9.5" customHeigh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9.5" customHeigh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9.5" customHeigh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9.5" customHeight="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9.5" customHeight="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9.5" customHeight="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9.5" customHeight="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9.5" customHeight="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9.5" customHeight="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9.5" customHeight="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9.5" customHeight="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9.5" customHeight="1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9.5" customHeight="1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9.5" customHeight="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9.5" customHeight="1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9.5" customHeight="1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9.5" customHeight="1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9.5" customHeight="1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9.5" customHeight="1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9.5" customHeight="1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9.5" customHeight="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9.5" customHeight="1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9.5" customHeight="1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9.5" customHeight="1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9.5" customHeight="1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9.5" customHeight="1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9.5" customHeight="1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9.5" customHeight="1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9.5" customHeight="1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9.5" customHeight="1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9.5" customHeight="1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9.5" customHeight="1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9.5" customHeight="1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9.5" customHeight="1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9.5" customHeight="1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9.5" customHeight="1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9.5" customHeight="1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9.5" customHeight="1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9.5" customHeight="1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9.5" customHeight="1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9.5" customHeight="1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9.5" customHeight="1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9.5" customHeight="1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9.5" customHeight="1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9.5" customHeight="1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9.5" customHeight="1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9.5" customHeight="1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9.5" customHeight="1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9.5" customHeight="1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9.5" customHeight="1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9.5" customHeight="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9.5" customHeight="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9.5" customHeight="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9.5" customHeight="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9.5" customHeight="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9.5" customHeight="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9.5" customHeight="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9.5" customHeight="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9.5" customHeight="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9.5" customHeight="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9.5" customHeight="1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9.5" customHeight="1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9.5" customHeight="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9.5" customHeight="1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9.5" customHeight="1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9.5" customHeight="1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9.5" customHeight="1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9.5" customHeight="1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9.5" customHeight="1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9.5" customHeight="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9.5" customHeight="1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9.5" customHeight="1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9.5" customHeight="1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9.5" customHeight="1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9.5" customHeight="1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9.5" customHeight="1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9.5" customHeight="1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9.5" customHeight="1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9.5" customHeight="1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9.5" customHeight="1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9.5" customHeight="1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9.5" customHeight="1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9.5" customHeight="1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9.5" customHeight="1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9.5" customHeight="1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9.5" customHeight="1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9.5" customHeight="1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9.5" customHeight="1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9.5" customHeight="1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9.5" customHeight="1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9.5" customHeight="1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9.5" customHeight="1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9.5" customHeight="1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9.5" customHeight="1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9.5" customHeight="1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9.5" customHeight="1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9.5" customHeight="1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9.5" customHeight="1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9.5" customHeight="1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9.5" customHeight="1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9.5" customHeight="1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9.5" customHeight="1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9.5" customHeight="1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9.5" customHeight="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9.5" customHeight="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9.5" customHeight="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9.5" customHeight="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9.5" customHeight="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9.5" customHeight="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9.5" customHeight="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9.5" customHeight="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9.5" customHeight="1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9.5" customHeight="1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9.5" customHeight="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9.5" customHeight="1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9.5" customHeight="1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9.5" customHeight="1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9.5" customHeight="1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9.5" customHeight="1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9.5" customHeight="1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9.5" customHeight="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9.5" customHeight="1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9.5" customHeight="1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9.5" customHeight="1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9.5" customHeight="1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9.5" customHeight="1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9.5" customHeight="1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9.5" customHeight="1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9.5" customHeight="1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9.5" customHeight="1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9.5" customHeight="1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9.5" customHeight="1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9.5" customHeight="1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9.5" customHeight="1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9.5" customHeight="1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9.5" customHeight="1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9.5" customHeight="1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9.5" customHeight="1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9.5" customHeight="1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9.5" customHeight="1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9.5" customHeight="1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9.5" customHeight="1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9.5" customHeight="1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9.5" customHeight="1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9.5" customHeight="1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9.5" customHeight="1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9.5" customHeight="1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9.5" customHeight="1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9.5" customHeight="1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9.5" customHeight="1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9.5" customHeight="1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9.5" customHeight="1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9.5" customHeight="1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9.5" customHeight="1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9.5" customHeight="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9.5" customHeight="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9.5" customHeight="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9.5" customHeight="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9.5" customHeight="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9.5" customHeight="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9.5" customHeight="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9.5" customHeight="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9.5" customHeight="1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9.5" customHeight="1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9.5" customHeight="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9.5" customHeight="1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9.5" customHeight="1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9.5" customHeight="1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9.5" customHeight="1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9.5" customHeight="1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9.5" customHeight="1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9.5" customHeight="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9.5" customHeight="1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9.5" customHeight="1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9.5" customHeight="1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9.5" customHeight="1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9.5" customHeight="1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9.5" customHeight="1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9.5" customHeight="1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9.5" customHeight="1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9.5" customHeight="1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9.5" customHeight="1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9.5" customHeight="1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9.5" customHeight="1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9.5" customHeight="1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9.5" customHeight="1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9.5" customHeight="1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9.5" customHeight="1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9.5" customHeight="1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9.5" customHeight="1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9.5" customHeight="1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9.5" customHeight="1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9.5" customHeight="1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9.5" customHeight="1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9.5" customHeight="1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9.5" customHeight="1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9.5" customHeight="1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9.5" customHeight="1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9.5" customHeight="1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9.5" customHeight="1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9.5" customHeight="1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9.5" customHeight="1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9.5" customHeight="1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9.5" customHeight="1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9.5" customHeight="1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9.5" customHeight="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9.5" customHeight="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9.5" customHeight="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9.5" customHeight="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9.5" customHeight="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9.5" customHeight="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9.5" customHeight="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9.5" customHeight="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9.5" customHeight="1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9.5" customHeight="1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9.5" customHeight="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9.5" customHeight="1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9.5" customHeight="1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9.5" customHeight="1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9.5" customHeight="1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9.5" customHeight="1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9.5" customHeight="1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9.5" customHeight="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9.5" customHeight="1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9.5" customHeight="1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9.5" customHeight="1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9.5" customHeight="1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9.5" customHeight="1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9.5" customHeight="1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9.5" customHeight="1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9.5" customHeight="1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9.5" customHeight="1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9.5" customHeight="1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9.5" customHeight="1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9.5" customHeight="1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9.5" customHeight="1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9.5" customHeight="1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9.5" customHeight="1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9.5" customHeight="1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9.5" customHeight="1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9.5" customHeight="1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9.5" customHeight="1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9.5" customHeight="1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9.5" customHeight="1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9.5" customHeight="1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9.5" customHeight="1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9.5" customHeight="1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9.5" customHeight="1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9.5" customHeight="1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9.5" customHeight="1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9.5" customHeight="1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9.5" customHeight="1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9.5" customHeight="1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9.5" customHeight="1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9.5" customHeight="1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9.5" customHeight="1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9.5" customHeight="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9.5" customHeight="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9.5" customHeight="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9.5" customHeight="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9.5" customHeight="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9.5" customHeight="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9.5" customHeight="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9.5" customHeight="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9.5" customHeight="1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9.5" customHeight="1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9.5" customHeight="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9.5" customHeight="1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9.5" customHeight="1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9.5" customHeight="1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9.5" customHeight="1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9.5" customHeight="1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9.5" customHeight="1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9.5" customHeight="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9.5" customHeight="1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9.5" customHeight="1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9.5" customHeight="1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9.5" customHeight="1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9.5" customHeight="1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9.5" customHeight="1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9.5" customHeight="1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9.5" customHeight="1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9.5" customHeight="1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9.5" customHeight="1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9.5" customHeight="1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9.5" customHeight="1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9.5" customHeight="1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9.5" customHeight="1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9.5" customHeight="1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9.5" customHeight="1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9.5" customHeight="1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9.5" customHeight="1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9.5" customHeight="1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9.5" customHeight="1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9.5" customHeigh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9.5" customHeigh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9.5" customHeight="1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9.5" customHeight="1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9.5" customHeight="1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9.5" customHeight="1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9.5" customHeight="1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9.5" customHeight="1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9.5" customHeight="1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9.5" customHeight="1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9.5" customHeight="1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9.5" customHeight="1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9.5" customHeight="1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9.5" customHeight="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9.5" customHeight="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9.5" customHeight="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9.5" customHeight="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9.5" customHeight="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9.5" customHeight="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9.5" customHeight="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9.5" customHeight="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9.5" customHeight="1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9.5" customHeight="1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9.5" customHeight="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9.5" customHeight="1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9.5" customHeight="1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9.5" customHeight="1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9.5" customHeight="1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9.5" customHeight="1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9.5" customHeight="1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9.5" customHeight="1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9.5" customHeight="1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9.5" customHeight="1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9.5" customHeight="1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9.5" customHeight="1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9.5" customHeight="1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9.5" customHeight="1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9.5" customHeight="1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9.5" customHeight="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9.5" customHeight="1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9.5" customHeight="1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9.5" customHeight="1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9.5" customHeight="1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9.5" customHeight="1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9.5" customHeight="1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9.5" customHeight="1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9.5" customHeight="1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9.5" customHeight="1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9.5" customHeight="1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9.5" customHeight="1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9.5" customHeight="1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9.5" customHeight="1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9.5" customHeight="1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9.5" customHeight="1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9.5" customHeight="1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9.5" customHeight="1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9.5" customHeight="1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9.5" customHeight="1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9.5" customHeight="1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9.5" customHeight="1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9.5" customHeight="1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9.5" customHeight="1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9.5" customHeight="1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9.5" customHeight="1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9.5" customHeight="1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9.5" customHeight="1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9.5" customHeight="1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9.5" customHeight="1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9.5" customHeight="1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9.5" customHeight="1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9.5" customHeight="1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9.5" customHeight="1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9.5" customHeight="1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9.5" customHeight="1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9.5" customHeight="1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9.5" customHeight="1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9.5" customHeight="1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9.5" customHeight="1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9.5" customHeight="1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9.5" customHeight="1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9.5" customHeight="1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9.5" customHeight="1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9.5" customHeight="1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9.5" customHeight="1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9.5" customHeight="1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9.5" customHeight="1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9.5" customHeight="1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9.5" customHeight="1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9.5" customHeight="1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9.5" customHeight="1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9.5" customHeight="1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9.5" customHeight="1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9.5" customHeight="1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9.5" customHeight="1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9.5" customHeight="1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9.5" customHeight="1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9.5" customHeight="1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9.5" customHeight="1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9.5" customHeight="1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9.5" customHeight="1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9.5" customHeight="1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9.5" customHeight="1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9.5" customHeight="1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9.5" customHeight="1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9.5" customHeight="1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9.5" customHeight="1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9.5" customHeight="1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9.5" customHeight="1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9.5" customHeight="1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9.5" customHeight="1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9.5" customHeight="1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9.5" customHeight="1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9.5" customHeight="1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9.5" customHeight="1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9.5" customHeight="1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9.5" customHeight="1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9.5" customHeight="1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9.5" customHeight="1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9.5" customHeight="1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9.5" customHeight="1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9.5" customHeight="1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9.5" customHeight="1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9.5" customHeight="1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9.5" customHeight="1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9.5" customHeight="1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9.5" customHeight="1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9.5" customHeight="1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9.5" customHeight="1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9.5" customHeight="1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9.5" customHeight="1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9.5" customHeight="1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9.5" customHeight="1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9.5" customHeight="1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9.5" customHeight="1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9.5" customHeight="1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9.5" customHeight="1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9.5" customHeight="1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9.5" customHeight="1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9.5" customHeight="1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9.5" customHeight="1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9.5" customHeight="1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9.5" customHeight="1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9.5" customHeight="1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9.5" customHeight="1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9.5" customHeight="1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9.5" customHeight="1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9.5" customHeight="1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9.5" customHeight="1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9.5" customHeight="1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9.5" customHeight="1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9.5" customHeight="1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9.5" customHeight="1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9.5" customHeight="1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9.5" customHeight="1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9.5" customHeight="1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9.5" customHeight="1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9.5" customHeight="1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9.5" customHeight="1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9.5" customHeight="1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9.5" customHeight="1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9.5" customHeight="1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9.5" customHeight="1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9.5" customHeight="1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9.5" customHeight="1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9.5" customHeight="1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9.5" customHeight="1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9.5" customHeight="1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9.5" customHeight="1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9.5" customHeight="1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9.5" customHeight="1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9.5" customHeight="1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9.5" customHeight="1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9.5" customHeight="1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9.5" customHeight="1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9.5" customHeight="1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9.5" customHeight="1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9.5" customHeight="1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9.5" customHeight="1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9.5" customHeight="1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9.5" customHeight="1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9.5" customHeight="1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9.5" customHeight="1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9.5" customHeight="1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9.5" customHeight="1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9.5" customHeight="1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9.5" customHeight="1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9.5" customHeight="1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9.5" customHeight="1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9.5" customHeight="1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9.5" customHeight="1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9.5" customHeight="1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9.5" customHeight="1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9.5" customHeight="1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9.5" customHeight="1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9.5" customHeight="1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9.5" customHeight="1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9.5" customHeight="1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9.5" customHeight="1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9.5" customHeight="1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9.5" customHeight="1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9.5" customHeight="1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9.5" customHeight="1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9.5" customHeight="1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9.5" customHeight="1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9.5" customHeight="1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9.5" customHeight="1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9.5" customHeight="1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9.5" customHeight="1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9.5" customHeight="1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9.5" customHeight="1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9.5" customHeight="1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9.5" customHeight="1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9.5" customHeight="1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9.5" customHeight="1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9.5" customHeight="1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9.5" customHeight="1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9.5" customHeight="1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9.5" customHeight="1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9.5" customHeight="1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9.5" customHeight="1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9.5" customHeight="1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9.5" customHeight="1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9.5" customHeight="1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9.5" customHeight="1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9.5" customHeight="1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9.5" customHeight="1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9.5" customHeight="1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9.5" customHeight="1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9.5" customHeight="1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9.5" customHeight="1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9.5" customHeight="1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9.5" customHeight="1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9.5" customHeight="1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9.5" customHeight="1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9.5" customHeight="1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9.5" customHeight="1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9.5" customHeight="1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9.5" customHeight="1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9.5" customHeight="1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9.5" customHeight="1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9.5" customHeight="1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9.5" customHeight="1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9.5" customHeight="1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9.5" customHeight="1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9.5" customHeight="1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9.5" customHeight="1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9.5" customHeight="1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9.5" customHeight="1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9.5" customHeight="1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9.5" customHeight="1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9.5" customHeight="1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9.5" customHeight="1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9.5" customHeight="1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9.5" customHeight="1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9.5" customHeight="1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9.5" customHeight="1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9.5" customHeight="1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9.5" customHeight="1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9.5" customHeight="1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9.5" customHeight="1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9.5" customHeight="1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9.5" customHeight="1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9.5" customHeight="1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9.5" customHeight="1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9.5" customHeight="1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9.5" customHeight="1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9.5" customHeight="1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9.5" customHeight="1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9.5" customHeight="1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9.5" customHeight="1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9.5" customHeight="1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9.5" customHeight="1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9.5" customHeight="1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9.5" customHeight="1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9.5" customHeight="1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9.5" customHeight="1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9.5" customHeight="1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9.5" customHeight="1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9.5" customHeight="1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9.5" customHeight="1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9.5" customHeight="1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9.5" customHeight="1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9.5" customHeight="1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9.5" customHeight="1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9.5" customHeight="1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9.5" customHeight="1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9.5" customHeight="1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9.5" customHeight="1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9.5" customHeight="1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9.5" customHeight="1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9.5" customHeight="1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9.5" customHeight="1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9.5" customHeight="1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9.5" customHeight="1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9.5" customHeight="1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9.5" customHeight="1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9.5" customHeight="1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9.5" customHeight="1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9.5" customHeight="1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9.5" customHeight="1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9.5" customHeight="1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9.5" customHeight="1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9.5" customHeight="1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9.5" customHeight="1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9.5" customHeight="1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9.5" customHeight="1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9.5" customHeight="1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9.5" customHeight="1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9.5" customHeight="1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9.5" customHeight="1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9.5" customHeight="1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9.5" customHeight="1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9.5" customHeight="1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9.5" customHeight="1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9.5" customHeight="1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9.5" customHeight="1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9.5" customHeight="1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9.5" customHeight="1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9.5" customHeight="1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9.5" customHeight="1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9.5" customHeigh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9.5" customHeight="1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9.5" customHeight="1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9.5" customHeight="1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9.5" customHeight="1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9.5" customHeight="1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9.5" customHeight="1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9.5" customHeight="1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9.5" customHeight="1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9.5" customHeight="1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9.5" customHeight="1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9.5" customHeight="1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9.5" customHeight="1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9.5" customHeight="1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9.5" customHeight="1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9.5" customHeight="1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9.5" customHeight="1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9.5" customHeight="1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9.5" customHeight="1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9.5" customHeight="1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9.5" customHeight="1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9.5" customHeight="1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9.5" customHeight="1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9.5" customHeight="1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9.5" customHeight="1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9.5" customHeight="1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9.5" customHeight="1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9.5" customHeight="1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9.5" customHeight="1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9.5" customHeight="1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9.5" customHeight="1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9.5" customHeight="1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9.5" customHeight="1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9.5" customHeight="1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9.5" customHeight="1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9.5" customHeight="1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9.5" customHeight="1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9.5" customHeight="1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9.5" customHeight="1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9.5" customHeight="1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9.5" customHeight="1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9.5" customHeight="1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9.5" customHeight="1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9.5" customHeight="1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9.5" customHeight="1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9.5" customHeight="1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9.5" customHeight="1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9.5" customHeight="1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9.5" customHeight="1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9.5" customHeight="1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9.5" customHeight="1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9.5" customHeight="1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9.5" customHeight="1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9.5" customHeight="1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9.5" customHeight="1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9.5" customHeight="1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9.5" customHeight="1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9.5" customHeight="1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9.5" customHeight="1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9.5" customHeight="1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9.5" customHeight="1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9.5" customHeight="1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9.5" customHeight="1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9.5" customHeight="1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9.5" customHeight="1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9.5" customHeight="1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9.5" customHeight="1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9.5" customHeight="1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9.5" customHeight="1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9.5" customHeight="1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9.5" customHeight="1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9.5" customHeight="1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9.5" customHeight="1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9.5" customHeight="1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9.5" customHeight="1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9.5" customHeight="1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9.5" customHeight="1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9.5" customHeight="1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9.5" customHeight="1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9.5" customHeight="1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9.5" customHeight="1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9.5" customHeight="1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9.5" customHeight="1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9.5" customHeight="1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9.5" customHeight="1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9.5" customHeight="1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9.5" customHeight="1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9.5" customHeight="1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9.5" customHeight="1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9.5" customHeight="1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9.5" customHeight="1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9.5" customHeight="1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9.5" customHeight="1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9.5" customHeight="1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9.5" customHeight="1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9.5" customHeight="1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9.5" customHeight="1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9.5" customHeight="1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9.5" customHeight="1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9.5" customHeight="1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9.5" customHeight="1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9.5" customHeight="1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9.5" customHeight="1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9.5" customHeight="1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9.5" customHeight="1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9.5" customHeight="1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9.5" customHeight="1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9.5" customHeight="1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9.5" customHeight="1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9.5" customHeight="1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9.5" customHeight="1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9.5" customHeight="1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9.5" customHeight="1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9.5" customHeight="1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9.5" customHeight="1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9.5" customHeight="1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9.5" customHeight="1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9.5" customHeight="1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9.5" customHeight="1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9.5" customHeight="1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9.5" customHeight="1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9.5" customHeight="1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9.5" customHeight="1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9.5" customHeight="1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9.5" customHeight="1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9.5" customHeight="1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9.5" customHeight="1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9.5" customHeight="1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9.5" customHeight="1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9.5" customHeight="1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9.5" customHeight="1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9.5" customHeight="1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9.5" customHeight="1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9.5" customHeight="1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9.5" customHeight="1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9.5" customHeight="1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9.5" customHeight="1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9.5" customHeight="1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9.5" customHeight="1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9.5" customHeight="1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9.5" customHeight="1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9.5" customHeight="1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9.5" customHeight="1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9.5" customHeight="1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9.5" customHeight="1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9.5" customHeight="1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9.5" customHeight="1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9.5" customHeight="1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9.5" customHeight="1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9.5" customHeight="1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9.5" customHeight="1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9.5" customHeight="1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9.5" customHeight="1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9.5" customHeight="1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9.5" customHeight="1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9.5" customHeight="1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9.5" customHeight="1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9.5" customHeight="1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9.5" customHeight="1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9.5" customHeight="1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9.5" customHeight="1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9.5" customHeight="1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9.5" customHeight="1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9.5" customHeight="1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9.5" customHeight="1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9.5" customHeight="1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9.5" customHeight="1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9.5" customHeight="1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9.5" customHeight="1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9.5" customHeight="1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9.5" customHeight="1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9.5" customHeight="1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9.5" customHeight="1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9.5" customHeight="1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9.5" customHeight="1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9.5" customHeight="1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9.5" customHeight="1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9.5" customHeight="1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9.5" customHeight="1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9.5" customHeight="1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9.5" customHeight="1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9.5" customHeight="1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9.5" customHeight="1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9.5" customHeight="1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9.5" customHeight="1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9.5" customHeight="1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9.5" customHeight="1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9.5" customHeight="1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9.5" customHeight="1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9.5" customHeight="1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9.5" customHeight="1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9.5" customHeight="1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9.5" customHeight="1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9.5" customHeight="1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9.5" customHeight="1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9.5" customHeight="1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9.5" customHeight="1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9.5" customHeight="1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9.5" customHeight="1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9.5" customHeight="1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9.5" customHeight="1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9.5" customHeight="1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9.5" customHeight="1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9.5" customHeight="1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9.5" customHeight="1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9.5" customHeight="1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9.5" customHeight="1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9.5" customHeight="1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9.5" customHeight="1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9.5" customHeight="1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9.5" customHeight="1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9.5" customHeight="1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9.5" customHeight="1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9.5" customHeight="1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9.5" customHeight="1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9.5" customHeight="1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9.5" customHeight="1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9.5" customHeight="1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9.5" customHeight="1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9.5" customHeight="1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9.5" customHeight="1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9.5" customHeight="1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9.5" customHeight="1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9.5" customHeight="1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9.5" customHeight="1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9.5" customHeight="1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9.5" customHeight="1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9.5" customHeight="1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9.5" customHeight="1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9.5" customHeight="1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9.5" customHeight="1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9.5" customHeight="1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9.5" customHeight="1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9.5" customHeight="1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9.5" customHeight="1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9.5" customHeight="1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9.5" customHeight="1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9.5" customHeight="1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9.5" customHeight="1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9.5" customHeight="1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9.5" customHeight="1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9.5" customHeight="1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9.5" customHeight="1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9.5" customHeight="1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9.5" customHeight="1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9.5" customHeight="1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9.5" customHeight="1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9.5" customHeight="1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9.5" customHeight="1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9.5" customHeight="1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9.5" customHeight="1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9.5" customHeight="1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9.5" customHeight="1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9.5" customHeight="1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9.5" customHeight="1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9.5" customHeight="1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9.5" customHeight="1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9.5" customHeight="1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9.5" customHeight="1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9.5" customHeight="1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9.5" customHeight="1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9.5" customHeight="1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9.5" customHeight="1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9.5" customHeight="1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9.5" customHeight="1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9.5" customHeight="1" x14ac:dyDescent="0.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9.5" customHeight="1" x14ac:dyDescent="0.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9.5" customHeight="1" x14ac:dyDescent="0.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9.5" customHeight="1" x14ac:dyDescent="0.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9.5" customHeight="1" x14ac:dyDescent="0.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9.5" customHeight="1" x14ac:dyDescent="0.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9.5" customHeight="1" x14ac:dyDescent="0.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9.5" customHeight="1" x14ac:dyDescent="0.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9.5" customHeight="1" x14ac:dyDescent="0.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9.5" customHeight="1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9.5" customHeight="1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9.5" customHeight="1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9.5" customHeight="1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9.5" customHeight="1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9.5" customHeight="1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9.5" customHeight="1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9.5" customHeight="1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9.5" customHeight="1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9.5" customHeight="1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9.5" customHeight="1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9.5" customHeight="1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9.5" customHeight="1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9.5" customHeight="1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9.5" customHeight="1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9.5" customHeight="1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9.5" customHeight="1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9.5" customHeight="1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9.5" customHeight="1" x14ac:dyDescent="0.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">
    <mergeCell ref="B2:C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>
      <selection activeCell="G6" sqref="G6"/>
    </sheetView>
  </sheetViews>
  <sheetFormatPr defaultColWidth="14.44140625" defaultRowHeight="15" customHeight="1" x14ac:dyDescent="0.3"/>
  <cols>
    <col min="1" max="1" width="2.44140625" style="8" customWidth="1"/>
    <col min="2" max="2" width="19.6640625" style="8" customWidth="1"/>
    <col min="3" max="3" width="15" style="8" customWidth="1"/>
    <col min="4" max="4" width="2.88671875" style="8" customWidth="1"/>
    <col min="5" max="5" width="15.6640625" style="8" customWidth="1"/>
    <col min="6" max="6" width="19.44140625" style="8" customWidth="1"/>
    <col min="7" max="7" width="31.5546875" style="8" customWidth="1"/>
    <col min="8" max="8" width="16.5546875" style="8" customWidth="1"/>
    <col min="9" max="9" width="11.33203125" style="8" customWidth="1"/>
    <col min="10" max="11" width="8.88671875" style="8" customWidth="1"/>
    <col min="12" max="12" width="21.5546875" style="8" customWidth="1"/>
    <col min="13" max="26" width="8.88671875" style="8" customWidth="1"/>
    <col min="27" max="16384" width="14.44140625" style="8"/>
  </cols>
  <sheetData>
    <row r="1" spans="1:26" ht="19.5" customHeight="1" x14ac:dyDescent="0.3">
      <c r="A1" s="9"/>
      <c r="B1" s="9"/>
      <c r="C1" s="9"/>
      <c r="D1" s="9"/>
      <c r="E1" s="9"/>
      <c r="F1" s="9"/>
      <c r="G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9.5" customHeight="1" thickBot="1" x14ac:dyDescent="0.35">
      <c r="A2" s="9"/>
      <c r="B2" s="20" t="s">
        <v>43</v>
      </c>
      <c r="C2" s="21"/>
      <c r="D2" s="21"/>
      <c r="E2" s="21"/>
      <c r="F2" s="21"/>
      <c r="G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9.5" customHeight="1" thickTop="1" x14ac:dyDescent="0.3">
      <c r="A3" s="9"/>
      <c r="B3" s="9"/>
      <c r="C3" s="9"/>
      <c r="D3" s="9"/>
      <c r="E3" s="9"/>
      <c r="F3" s="9"/>
      <c r="G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9.5" customHeight="1" x14ac:dyDescent="0.3">
      <c r="A4" s="9"/>
      <c r="B4" s="12" t="s">
        <v>40</v>
      </c>
      <c r="C4" s="12" t="s">
        <v>27</v>
      </c>
      <c r="D4" s="16"/>
      <c r="E4" s="12" t="s">
        <v>35</v>
      </c>
      <c r="F4" s="12" t="s">
        <v>42</v>
      </c>
      <c r="G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9.5" customHeight="1" x14ac:dyDescent="0.3">
      <c r="A5" s="9"/>
      <c r="B5" s="11" t="s">
        <v>32</v>
      </c>
      <c r="C5" s="10">
        <v>5</v>
      </c>
      <c r="D5" s="15"/>
      <c r="E5" s="11" t="s">
        <v>32</v>
      </c>
      <c r="F5" s="10">
        <f>AVERAGEIF($B$5:$B$15,E5,$C$5:$C$15)</f>
        <v>4</v>
      </c>
      <c r="G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9.5" customHeight="1" x14ac:dyDescent="0.3">
      <c r="A6" s="9"/>
      <c r="B6" s="11" t="s">
        <v>30</v>
      </c>
      <c r="C6" s="10">
        <v>3.5</v>
      </c>
      <c r="D6" s="15"/>
      <c r="E6" s="11" t="s">
        <v>30</v>
      </c>
      <c r="F6" s="10">
        <f t="shared" ref="F6:F7" si="0">AVERAGEIF($B$5:$B$15,E6,$C$5:$C$15)</f>
        <v>4.875</v>
      </c>
      <c r="G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9.5" customHeight="1" x14ac:dyDescent="0.3">
      <c r="A7" s="9"/>
      <c r="B7" s="11" t="s">
        <v>32</v>
      </c>
      <c r="C7" s="10">
        <v>4.5</v>
      </c>
      <c r="D7" s="15"/>
      <c r="E7" s="11" t="s">
        <v>33</v>
      </c>
      <c r="F7" s="10">
        <f t="shared" si="0"/>
        <v>4.9333333333333336</v>
      </c>
      <c r="G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9.5" customHeight="1" x14ac:dyDescent="0.3">
      <c r="A8" s="9"/>
      <c r="B8" s="11" t="s">
        <v>33</v>
      </c>
      <c r="C8" s="10">
        <v>6</v>
      </c>
      <c r="D8" s="15"/>
      <c r="E8" s="15"/>
      <c r="F8" s="15"/>
      <c r="G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9.5" customHeight="1" x14ac:dyDescent="0.3">
      <c r="A9" s="9"/>
      <c r="B9" s="11" t="s">
        <v>30</v>
      </c>
      <c r="C9" s="10">
        <v>5</v>
      </c>
      <c r="D9" s="15"/>
      <c r="E9" s="15"/>
      <c r="F9" s="15"/>
      <c r="G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9.5" customHeight="1" x14ac:dyDescent="0.3">
      <c r="A10" s="9"/>
      <c r="B10" s="11" t="s">
        <v>33</v>
      </c>
      <c r="C10" s="10">
        <v>4</v>
      </c>
      <c r="D10" s="15"/>
      <c r="E10" s="15"/>
      <c r="F10" s="15"/>
      <c r="G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9.5" customHeight="1" x14ac:dyDescent="0.3">
      <c r="A11" s="9"/>
      <c r="B11" s="11" t="s">
        <v>32</v>
      </c>
      <c r="C11" s="10">
        <v>3.5</v>
      </c>
      <c r="D11" s="15"/>
      <c r="E11" s="15"/>
      <c r="F11" s="15"/>
      <c r="G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9.5" customHeight="1" x14ac:dyDescent="0.3">
      <c r="A12" s="9"/>
      <c r="B12" s="11" t="s">
        <v>33</v>
      </c>
      <c r="C12" s="10">
        <v>4.8</v>
      </c>
      <c r="D12" s="15"/>
      <c r="E12" s="15"/>
      <c r="F12" s="15"/>
      <c r="G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9.5" customHeight="1" x14ac:dyDescent="0.3">
      <c r="A13" s="9"/>
      <c r="B13" s="11" t="s">
        <v>32</v>
      </c>
      <c r="C13" s="10">
        <v>3</v>
      </c>
      <c r="D13" s="15"/>
      <c r="E13" s="15"/>
      <c r="F13" s="15"/>
      <c r="G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9.5" customHeight="1" x14ac:dyDescent="0.3">
      <c r="A14" s="9"/>
      <c r="B14" s="11" t="s">
        <v>30</v>
      </c>
      <c r="C14" s="10">
        <v>6.5</v>
      </c>
      <c r="D14" s="15"/>
      <c r="E14" s="15"/>
      <c r="F14" s="15"/>
      <c r="G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9.5" customHeight="1" x14ac:dyDescent="0.3">
      <c r="A15" s="9"/>
      <c r="B15" s="11" t="s">
        <v>30</v>
      </c>
      <c r="C15" s="10">
        <v>4.5</v>
      </c>
      <c r="D15" s="15"/>
      <c r="E15" s="15"/>
      <c r="F15" s="15"/>
      <c r="G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9.5" customHeight="1" x14ac:dyDescent="0.3">
      <c r="A16" s="9"/>
      <c r="B16" s="9"/>
      <c r="C16" s="14">
        <f>AVERAGE(C5:C15)</f>
        <v>4.5727272727272723</v>
      </c>
      <c r="D16" s="9"/>
      <c r="E16" s="9"/>
      <c r="F16" s="9"/>
      <c r="G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9.5" customHeight="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9.5" customHeight="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9.5" customHeight="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9.5" customHeight="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9.5" customHeight="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9.5" customHeigh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9.5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9.5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9.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9.5" customHeigh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9.5" customHeight="1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9.5" customHeight="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9.5" customHeight="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9.5" customHeigh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9.5" customHeight="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9.5" customHeight="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9.5" customHeight="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9.5" customHeight="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9.5" customHeight="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9.5" customHeight="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9.5" customHeight="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9.5" customHeigh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9.5" customHeight="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9.5" customHeight="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9.5" customHeigh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9.5" customHeight="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9.5" customHeight="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9.5" customHeight="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9.5" customHeight="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9.5" customHeigh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9.5" customHeight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9.5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9.5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9.5" customHeight="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9.5" customHeight="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9.5" customHeight="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9.5" customHeight="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9.5" customHeight="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9.5" customHeight="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9.5" customHeight="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9.5" customHeight="1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9.5" customHeight="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9.5" customHeight="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9.5" customHeigh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9.5" customHeigh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9.5" customHeight="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9.5" customHeight="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9.5" customHeight="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9.5" customHeight="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9.5" customHeight="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9.5" customHeight="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9.5" customHeight="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9.5" customHeight="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9.5" customHeight="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9.5" customHeight="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9.5" customHeight="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9.5" customHeight="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9.5" customHeight="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9.5" customHeight="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9.5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9.5" customHeigh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9.5" customHeigh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9.5" customHeigh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9.5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9.5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9.5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9.5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9.5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9.5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9.5" customHeigh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9.5" customHeigh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9.5" customHeight="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9.5" customHeigh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9.5" customHeigh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9.5" customHeigh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9.5" customHeigh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9.5" customHeigh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9.5" customHeigh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9.5" customHeigh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9.5" customHeigh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9.5" customHeight="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9.5" customHeight="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9.5" customHeight="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9.5" customHeight="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9.5" customHeight="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9.5" customHeight="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9.5" customHeight="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9.5" customHeight="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9.5" customHeight="1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9.5" customHeight="1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9.5" customHeight="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9.5" customHeight="1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9.5" customHeight="1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9.5" customHeight="1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9.5" customHeight="1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9.5" customHeight="1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9.5" customHeight="1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9.5" customHeight="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9.5" customHeight="1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9.5" customHeight="1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9.5" customHeight="1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9.5" customHeight="1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9.5" customHeight="1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9.5" customHeight="1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9.5" customHeight="1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9.5" customHeight="1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9.5" customHeight="1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9.5" customHeight="1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9.5" customHeight="1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9.5" customHeight="1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9.5" customHeight="1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9.5" customHeight="1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9.5" customHeight="1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9.5" customHeight="1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9.5" customHeight="1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9.5" customHeight="1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9.5" customHeight="1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9.5" customHeight="1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9.5" customHeight="1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9.5" customHeight="1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9.5" customHeight="1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9.5" customHeight="1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9.5" customHeight="1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9.5" customHeight="1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9.5" customHeight="1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9.5" customHeight="1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9.5" customHeight="1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9.5" customHeight="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9.5" customHeight="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9.5" customHeight="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9.5" customHeight="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9.5" customHeight="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9.5" customHeight="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9.5" customHeight="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9.5" customHeight="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9.5" customHeight="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9.5" customHeight="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9.5" customHeight="1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9.5" customHeight="1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9.5" customHeight="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9.5" customHeight="1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9.5" customHeight="1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9.5" customHeight="1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9.5" customHeight="1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9.5" customHeight="1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9.5" customHeight="1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9.5" customHeight="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9.5" customHeight="1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9.5" customHeight="1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9.5" customHeight="1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9.5" customHeight="1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9.5" customHeight="1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9.5" customHeight="1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9.5" customHeight="1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9.5" customHeight="1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9.5" customHeight="1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9.5" customHeight="1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9.5" customHeight="1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9.5" customHeight="1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9.5" customHeight="1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9.5" customHeight="1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9.5" customHeight="1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9.5" customHeight="1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9.5" customHeight="1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9.5" customHeight="1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9.5" customHeight="1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9.5" customHeight="1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9.5" customHeight="1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9.5" customHeight="1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9.5" customHeight="1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9.5" customHeight="1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9.5" customHeight="1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9.5" customHeight="1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9.5" customHeight="1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9.5" customHeight="1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9.5" customHeight="1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9.5" customHeight="1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9.5" customHeight="1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9.5" customHeight="1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9.5" customHeight="1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9.5" customHeight="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9.5" customHeight="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9.5" customHeight="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9.5" customHeight="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9.5" customHeight="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9.5" customHeight="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9.5" customHeight="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9.5" customHeight="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9.5" customHeight="1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9.5" customHeight="1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9.5" customHeight="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9.5" customHeight="1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9.5" customHeight="1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9.5" customHeight="1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9.5" customHeight="1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9.5" customHeight="1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9.5" customHeight="1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9.5" customHeight="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9.5" customHeight="1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9.5" customHeight="1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9.5" customHeight="1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9.5" customHeight="1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9.5" customHeight="1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9.5" customHeight="1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9.5" customHeight="1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9.5" customHeight="1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9.5" customHeight="1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9.5" customHeight="1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9.5" customHeight="1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9.5" customHeight="1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9.5" customHeight="1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9.5" customHeight="1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9.5" customHeight="1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9.5" customHeight="1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9.5" customHeight="1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9.5" customHeight="1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9.5" customHeight="1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9.5" customHeight="1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9.5" customHeight="1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9.5" customHeight="1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9.5" customHeight="1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9.5" customHeight="1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9.5" customHeight="1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9.5" customHeight="1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9.5" customHeight="1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9.5" customHeight="1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9.5" customHeight="1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9.5" customHeight="1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9.5" customHeight="1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9.5" customHeight="1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9.5" customHeight="1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9.5" customHeight="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9.5" customHeight="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9.5" customHeight="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9.5" customHeight="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9.5" customHeight="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9.5" customHeight="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9.5" customHeight="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9.5" customHeight="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9.5" customHeight="1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9.5" customHeight="1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9.5" customHeight="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9.5" customHeight="1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9.5" customHeight="1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9.5" customHeight="1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9.5" customHeight="1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9.5" customHeight="1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9.5" customHeight="1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9.5" customHeight="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9.5" customHeight="1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9.5" customHeight="1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9.5" customHeight="1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9.5" customHeight="1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9.5" customHeight="1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9.5" customHeight="1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9.5" customHeight="1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9.5" customHeight="1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9.5" customHeight="1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9.5" customHeight="1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9.5" customHeight="1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9.5" customHeight="1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9.5" customHeight="1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9.5" customHeight="1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9.5" customHeight="1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9.5" customHeight="1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9.5" customHeight="1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9.5" customHeight="1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9.5" customHeight="1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9.5" customHeight="1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9.5" customHeight="1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9.5" customHeight="1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9.5" customHeight="1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9.5" customHeight="1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9.5" customHeight="1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9.5" customHeight="1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9.5" customHeight="1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9.5" customHeight="1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9.5" customHeight="1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9.5" customHeight="1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9.5" customHeight="1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9.5" customHeight="1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9.5" customHeight="1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9.5" customHeight="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9.5" customHeight="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9.5" customHeight="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9.5" customHeight="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9.5" customHeight="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9.5" customHeight="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9.5" customHeight="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9.5" customHeight="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9.5" customHeight="1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9.5" customHeight="1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9.5" customHeight="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9.5" customHeight="1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9.5" customHeight="1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9.5" customHeight="1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9.5" customHeight="1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9.5" customHeight="1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9.5" customHeight="1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9.5" customHeight="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9.5" customHeight="1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9.5" customHeight="1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9.5" customHeight="1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9.5" customHeight="1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9.5" customHeight="1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9.5" customHeight="1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9.5" customHeight="1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9.5" customHeight="1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9.5" customHeight="1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9.5" customHeight="1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9.5" customHeight="1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9.5" customHeight="1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9.5" customHeight="1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9.5" customHeight="1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9.5" customHeight="1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9.5" customHeight="1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9.5" customHeight="1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9.5" customHeight="1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9.5" customHeight="1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9.5" customHeight="1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9.5" customHeight="1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9.5" customHeight="1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9.5" customHeight="1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9.5" customHeight="1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9.5" customHeight="1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9.5" customHeight="1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9.5" customHeight="1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9.5" customHeight="1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9.5" customHeight="1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9.5" customHeight="1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9.5" customHeight="1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9.5" customHeight="1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9.5" customHeight="1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9.5" customHeight="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9.5" customHeight="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9.5" customHeight="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9.5" customHeight="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9.5" customHeight="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9.5" customHeight="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9.5" customHeight="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9.5" customHeight="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9.5" customHeight="1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9.5" customHeight="1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9.5" customHeight="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9.5" customHeight="1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9.5" customHeight="1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9.5" customHeight="1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9.5" customHeight="1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9.5" customHeight="1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9.5" customHeight="1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9.5" customHeight="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9.5" customHeight="1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9.5" customHeight="1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9.5" customHeight="1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9.5" customHeight="1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9.5" customHeight="1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9.5" customHeight="1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9.5" customHeight="1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9.5" customHeight="1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9.5" customHeight="1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9.5" customHeight="1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9.5" customHeight="1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9.5" customHeight="1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9.5" customHeight="1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9.5" customHeight="1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9.5" customHeight="1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9.5" customHeight="1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9.5" customHeight="1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9.5" customHeight="1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9.5" customHeight="1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9.5" customHeight="1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9.5" customHeigh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9.5" customHeigh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9.5" customHeight="1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9.5" customHeight="1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9.5" customHeight="1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9.5" customHeight="1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9.5" customHeight="1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9.5" customHeight="1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9.5" customHeight="1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9.5" customHeight="1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9.5" customHeight="1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9.5" customHeight="1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9.5" customHeight="1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9.5" customHeight="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9.5" customHeight="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9.5" customHeight="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9.5" customHeight="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9.5" customHeight="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9.5" customHeight="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9.5" customHeight="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9.5" customHeight="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9.5" customHeight="1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9.5" customHeight="1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9.5" customHeight="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9.5" customHeight="1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9.5" customHeight="1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9.5" customHeight="1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9.5" customHeight="1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9.5" customHeight="1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9.5" customHeight="1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9.5" customHeight="1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9.5" customHeight="1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9.5" customHeight="1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9.5" customHeight="1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9.5" customHeight="1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9.5" customHeight="1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9.5" customHeight="1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9.5" customHeight="1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9.5" customHeight="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9.5" customHeight="1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9.5" customHeight="1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9.5" customHeight="1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9.5" customHeight="1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9.5" customHeight="1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9.5" customHeight="1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9.5" customHeight="1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9.5" customHeight="1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9.5" customHeight="1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9.5" customHeight="1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9.5" customHeight="1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9.5" customHeight="1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9.5" customHeight="1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9.5" customHeight="1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9.5" customHeight="1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9.5" customHeight="1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9.5" customHeight="1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9.5" customHeight="1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9.5" customHeight="1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9.5" customHeight="1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9.5" customHeight="1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9.5" customHeight="1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9.5" customHeight="1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9.5" customHeight="1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9.5" customHeight="1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9.5" customHeight="1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9.5" customHeight="1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9.5" customHeight="1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9.5" customHeight="1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9.5" customHeight="1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9.5" customHeight="1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9.5" customHeight="1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9.5" customHeight="1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9.5" customHeight="1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9.5" customHeight="1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9.5" customHeight="1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9.5" customHeight="1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9.5" customHeight="1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9.5" customHeight="1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9.5" customHeight="1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9.5" customHeight="1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9.5" customHeight="1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9.5" customHeight="1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9.5" customHeight="1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9.5" customHeight="1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9.5" customHeight="1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9.5" customHeight="1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9.5" customHeight="1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9.5" customHeight="1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9.5" customHeight="1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9.5" customHeight="1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9.5" customHeight="1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9.5" customHeight="1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9.5" customHeight="1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9.5" customHeight="1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9.5" customHeight="1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9.5" customHeight="1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9.5" customHeight="1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9.5" customHeight="1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9.5" customHeight="1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9.5" customHeight="1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9.5" customHeight="1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9.5" customHeight="1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9.5" customHeight="1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9.5" customHeight="1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9.5" customHeight="1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9.5" customHeight="1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9.5" customHeight="1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9.5" customHeight="1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9.5" customHeight="1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9.5" customHeight="1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9.5" customHeight="1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9.5" customHeight="1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9.5" customHeight="1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9.5" customHeight="1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9.5" customHeight="1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9.5" customHeight="1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9.5" customHeight="1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9.5" customHeight="1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9.5" customHeight="1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9.5" customHeight="1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9.5" customHeight="1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9.5" customHeight="1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9.5" customHeight="1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9.5" customHeight="1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9.5" customHeight="1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9.5" customHeight="1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9.5" customHeight="1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9.5" customHeight="1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9.5" customHeight="1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9.5" customHeight="1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9.5" customHeight="1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9.5" customHeight="1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9.5" customHeight="1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9.5" customHeight="1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9.5" customHeight="1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9.5" customHeight="1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9.5" customHeight="1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9.5" customHeight="1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9.5" customHeight="1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9.5" customHeight="1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9.5" customHeight="1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9.5" customHeight="1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9.5" customHeight="1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9.5" customHeight="1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9.5" customHeight="1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9.5" customHeight="1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9.5" customHeight="1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9.5" customHeight="1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9.5" customHeight="1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9.5" customHeight="1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9.5" customHeight="1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9.5" customHeight="1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9.5" customHeight="1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9.5" customHeight="1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9.5" customHeight="1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9.5" customHeight="1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9.5" customHeight="1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9.5" customHeight="1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9.5" customHeight="1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9.5" customHeight="1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9.5" customHeight="1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9.5" customHeight="1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9.5" customHeight="1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9.5" customHeight="1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9.5" customHeight="1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9.5" customHeight="1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9.5" customHeight="1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9.5" customHeight="1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9.5" customHeight="1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9.5" customHeight="1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9.5" customHeight="1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9.5" customHeight="1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9.5" customHeight="1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9.5" customHeight="1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9.5" customHeight="1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9.5" customHeight="1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9.5" customHeight="1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9.5" customHeight="1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9.5" customHeight="1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9.5" customHeight="1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9.5" customHeight="1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9.5" customHeight="1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9.5" customHeight="1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9.5" customHeight="1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9.5" customHeight="1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9.5" customHeight="1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9.5" customHeight="1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9.5" customHeight="1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9.5" customHeight="1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9.5" customHeight="1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9.5" customHeight="1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9.5" customHeight="1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9.5" customHeight="1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9.5" customHeight="1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9.5" customHeight="1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9.5" customHeight="1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9.5" customHeight="1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9.5" customHeight="1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9.5" customHeight="1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9.5" customHeight="1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9.5" customHeight="1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9.5" customHeight="1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9.5" customHeight="1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9.5" customHeight="1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9.5" customHeight="1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9.5" customHeight="1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9.5" customHeight="1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9.5" customHeight="1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9.5" customHeight="1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9.5" customHeight="1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9.5" customHeight="1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9.5" customHeight="1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9.5" customHeight="1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9.5" customHeight="1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9.5" customHeight="1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9.5" customHeight="1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9.5" customHeight="1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9.5" customHeight="1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9.5" customHeight="1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9.5" customHeight="1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9.5" customHeight="1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9.5" customHeight="1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9.5" customHeight="1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9.5" customHeight="1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9.5" customHeight="1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9.5" customHeight="1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9.5" customHeight="1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9.5" customHeight="1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9.5" customHeight="1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9.5" customHeight="1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9.5" customHeight="1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9.5" customHeight="1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9.5" customHeight="1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9.5" customHeight="1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9.5" customHeight="1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9.5" customHeight="1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9.5" customHeight="1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9.5" customHeight="1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9.5" customHeight="1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9.5" customHeight="1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9.5" customHeight="1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9.5" customHeight="1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9.5" customHeight="1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9.5" customHeight="1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9.5" customHeight="1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9.5" customHeight="1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9.5" customHeight="1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9.5" customHeight="1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9.5" customHeight="1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9.5" customHeight="1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9.5" customHeight="1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9.5" customHeight="1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9.5" customHeight="1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9.5" customHeight="1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9.5" customHeight="1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9.5" customHeight="1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9.5" customHeight="1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9.5" customHeight="1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9.5" customHeight="1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9.5" customHeight="1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9.5" customHeight="1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9.5" customHeight="1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9.5" customHeight="1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9.5" customHeight="1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9.5" customHeight="1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9.5" customHeight="1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9.5" customHeight="1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9.5" customHeight="1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9.5" customHeight="1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9.5" customHeight="1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9.5" customHeight="1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9.5" customHeight="1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9.5" customHeight="1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9.5" customHeight="1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9.5" customHeight="1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9.5" customHeight="1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9.5" customHeight="1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9.5" customHeight="1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9.5" customHeight="1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9.5" customHeight="1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9.5" customHeight="1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9.5" customHeight="1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9.5" customHeight="1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9.5" customHeight="1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9.5" customHeight="1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9.5" customHeight="1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9.5" customHeight="1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9.5" customHeight="1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9.5" customHeight="1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9.5" customHeight="1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9.5" customHeight="1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9.5" customHeight="1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9.5" customHeight="1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9.5" customHeight="1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9.5" customHeight="1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9.5" customHeight="1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9.5" customHeight="1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9.5" customHeight="1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9.5" customHeight="1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9.5" customHeight="1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9.5" customHeight="1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9.5" customHeight="1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9.5" customHeight="1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9.5" customHeight="1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9.5" customHeight="1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9.5" customHeight="1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9.5" customHeight="1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9.5" customHeight="1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9.5" customHeight="1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9.5" customHeight="1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9.5" customHeight="1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9.5" customHeight="1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9.5" customHeight="1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9.5" customHeight="1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9.5" customHeight="1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9.5" customHeight="1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9.5" customHeight="1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9.5" customHeight="1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9.5" customHeight="1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9.5" customHeight="1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9.5" customHeigh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9.5" customHeight="1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9.5" customHeight="1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9.5" customHeight="1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9.5" customHeight="1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9.5" customHeight="1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9.5" customHeight="1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9.5" customHeight="1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9.5" customHeight="1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9.5" customHeight="1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9.5" customHeight="1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9.5" customHeight="1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9.5" customHeight="1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9.5" customHeight="1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9.5" customHeight="1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9.5" customHeight="1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9.5" customHeight="1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9.5" customHeight="1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9.5" customHeight="1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9.5" customHeight="1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9.5" customHeight="1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9.5" customHeight="1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9.5" customHeight="1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9.5" customHeight="1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9.5" customHeight="1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9.5" customHeight="1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9.5" customHeight="1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9.5" customHeight="1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9.5" customHeight="1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9.5" customHeight="1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9.5" customHeight="1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9.5" customHeight="1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9.5" customHeight="1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9.5" customHeight="1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9.5" customHeight="1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9.5" customHeight="1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9.5" customHeight="1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9.5" customHeight="1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9.5" customHeight="1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9.5" customHeight="1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9.5" customHeight="1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9.5" customHeight="1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9.5" customHeight="1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9.5" customHeight="1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9.5" customHeight="1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9.5" customHeight="1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9.5" customHeight="1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9.5" customHeight="1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9.5" customHeight="1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9.5" customHeight="1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9.5" customHeight="1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9.5" customHeight="1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9.5" customHeight="1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9.5" customHeight="1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9.5" customHeight="1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9.5" customHeight="1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9.5" customHeight="1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9.5" customHeight="1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9.5" customHeight="1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9.5" customHeight="1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9.5" customHeight="1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9.5" customHeight="1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9.5" customHeight="1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9.5" customHeight="1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9.5" customHeight="1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9.5" customHeight="1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9.5" customHeight="1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9.5" customHeight="1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9.5" customHeight="1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9.5" customHeight="1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9.5" customHeight="1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9.5" customHeight="1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9.5" customHeight="1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9.5" customHeight="1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9.5" customHeight="1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9.5" customHeight="1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9.5" customHeight="1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9.5" customHeight="1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9.5" customHeight="1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9.5" customHeight="1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9.5" customHeight="1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9.5" customHeight="1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9.5" customHeight="1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9.5" customHeight="1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9.5" customHeight="1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9.5" customHeight="1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9.5" customHeight="1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9.5" customHeight="1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9.5" customHeight="1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9.5" customHeight="1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9.5" customHeight="1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9.5" customHeight="1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9.5" customHeight="1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9.5" customHeight="1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9.5" customHeight="1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9.5" customHeight="1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9.5" customHeight="1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9.5" customHeight="1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9.5" customHeight="1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9.5" customHeight="1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9.5" customHeight="1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9.5" customHeight="1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9.5" customHeight="1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9.5" customHeight="1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9.5" customHeight="1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9.5" customHeight="1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9.5" customHeight="1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9.5" customHeight="1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9.5" customHeight="1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9.5" customHeight="1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9.5" customHeight="1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9.5" customHeight="1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9.5" customHeight="1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9.5" customHeight="1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9.5" customHeight="1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9.5" customHeight="1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9.5" customHeight="1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9.5" customHeight="1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9.5" customHeight="1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9.5" customHeight="1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9.5" customHeight="1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9.5" customHeight="1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9.5" customHeight="1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9.5" customHeight="1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9.5" customHeight="1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9.5" customHeight="1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9.5" customHeight="1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9.5" customHeight="1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9.5" customHeight="1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9.5" customHeight="1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9.5" customHeight="1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9.5" customHeight="1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9.5" customHeight="1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9.5" customHeight="1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9.5" customHeight="1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9.5" customHeight="1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9.5" customHeight="1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9.5" customHeight="1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9.5" customHeight="1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9.5" customHeight="1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9.5" customHeight="1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9.5" customHeight="1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9.5" customHeight="1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9.5" customHeight="1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9.5" customHeight="1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9.5" customHeight="1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9.5" customHeight="1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9.5" customHeight="1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9.5" customHeight="1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9.5" customHeight="1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9.5" customHeight="1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9.5" customHeight="1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9.5" customHeight="1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9.5" customHeight="1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9.5" customHeight="1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9.5" customHeight="1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9.5" customHeight="1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9.5" customHeight="1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9.5" customHeight="1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9.5" customHeight="1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9.5" customHeight="1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9.5" customHeight="1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9.5" customHeight="1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9.5" customHeight="1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9.5" customHeight="1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9.5" customHeight="1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9.5" customHeight="1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9.5" customHeight="1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9.5" customHeight="1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9.5" customHeight="1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9.5" customHeight="1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9.5" customHeight="1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9.5" customHeight="1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9.5" customHeight="1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9.5" customHeight="1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9.5" customHeight="1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9.5" customHeight="1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9.5" customHeight="1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9.5" customHeight="1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9.5" customHeight="1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9.5" customHeight="1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9.5" customHeight="1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9.5" customHeight="1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9.5" customHeight="1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9.5" customHeight="1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9.5" customHeight="1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9.5" customHeight="1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9.5" customHeight="1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9.5" customHeight="1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9.5" customHeight="1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9.5" customHeight="1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9.5" customHeight="1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9.5" customHeight="1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9.5" customHeight="1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9.5" customHeight="1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9.5" customHeight="1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9.5" customHeight="1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9.5" customHeight="1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9.5" customHeight="1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9.5" customHeight="1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9.5" customHeight="1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9.5" customHeight="1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9.5" customHeight="1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9.5" customHeight="1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9.5" customHeight="1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9.5" customHeight="1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9.5" customHeight="1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9.5" customHeight="1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9.5" customHeight="1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9.5" customHeight="1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9.5" customHeight="1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9.5" customHeight="1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9.5" customHeight="1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9.5" customHeight="1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9.5" customHeight="1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9.5" customHeight="1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9.5" customHeight="1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9.5" customHeight="1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9.5" customHeight="1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9.5" customHeight="1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9.5" customHeight="1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9.5" customHeight="1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9.5" customHeight="1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9.5" customHeight="1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9.5" customHeight="1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9.5" customHeight="1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9.5" customHeight="1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9.5" customHeight="1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9.5" customHeight="1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9.5" customHeight="1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9.5" customHeight="1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9.5" customHeight="1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9.5" customHeight="1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9.5" customHeight="1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9.5" customHeight="1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9.5" customHeight="1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9.5" customHeight="1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9.5" customHeight="1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9.5" customHeight="1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9.5" customHeight="1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9.5" customHeight="1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9.5" customHeight="1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9.5" customHeight="1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9.5" customHeight="1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9.5" customHeight="1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9.5" customHeight="1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9.5" customHeight="1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9.5" customHeight="1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9.5" customHeight="1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9.5" customHeight="1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9.5" customHeight="1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9.5" customHeight="1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9.5" customHeight="1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9.5" customHeight="1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9.5" customHeight="1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9.5" customHeight="1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9.5" customHeight="1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9.5" customHeight="1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9.5" customHeight="1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9.5" customHeight="1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9.5" customHeight="1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9.5" customHeight="1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9.5" customHeight="1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9.5" customHeight="1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9.5" customHeight="1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9.5" customHeight="1" x14ac:dyDescent="0.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9.5" customHeight="1" x14ac:dyDescent="0.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9.5" customHeight="1" x14ac:dyDescent="0.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9.5" customHeight="1" x14ac:dyDescent="0.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9.5" customHeight="1" x14ac:dyDescent="0.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9.5" customHeight="1" x14ac:dyDescent="0.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9.5" customHeight="1" x14ac:dyDescent="0.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9.5" customHeight="1" x14ac:dyDescent="0.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9.5" customHeight="1" x14ac:dyDescent="0.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9.5" customHeight="1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9.5" customHeight="1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9.5" customHeight="1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9.5" customHeight="1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9.5" customHeight="1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9.5" customHeight="1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9.5" customHeight="1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9.5" customHeight="1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9.5" customHeight="1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9.5" customHeight="1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9.5" customHeight="1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9.5" customHeight="1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9.5" customHeight="1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9.5" customHeight="1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9.5" customHeight="1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9.5" customHeight="1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9.5" customHeight="1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9.5" customHeight="1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9.5" customHeight="1" x14ac:dyDescent="0.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">
    <mergeCell ref="B2:F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tabSelected="1" topLeftCell="A2" workbookViewId="0">
      <selection activeCell="B30" sqref="B30"/>
    </sheetView>
  </sheetViews>
  <sheetFormatPr defaultColWidth="14.44140625" defaultRowHeight="15" customHeight="1" x14ac:dyDescent="0.3"/>
  <cols>
    <col min="1" max="26" width="8.6640625" style="8" customWidth="1"/>
    <col min="27" max="16384" width="14.44140625" style="8"/>
  </cols>
  <sheetData>
    <row r="1" spans="1:2" ht="14.4" x14ac:dyDescent="0.3">
      <c r="A1" s="8" t="s">
        <v>79</v>
      </c>
    </row>
    <row r="3" spans="1:2" ht="14.4" x14ac:dyDescent="0.3">
      <c r="A3" s="8" t="s">
        <v>80</v>
      </c>
    </row>
    <row r="5" spans="1:2" ht="14.4" x14ac:dyDescent="0.3">
      <c r="A5" s="8" t="s">
        <v>81</v>
      </c>
    </row>
    <row r="7" spans="1:2" ht="15" customHeight="1" x14ac:dyDescent="0.3">
      <c r="A7" s="8" t="s">
        <v>82</v>
      </c>
      <c r="B7" s="8" t="s">
        <v>83</v>
      </c>
    </row>
    <row r="9" spans="1:2" ht="15" customHeight="1" x14ac:dyDescent="0.3">
      <c r="A9" s="8" t="s">
        <v>84</v>
      </c>
      <c r="B9" s="8" t="s">
        <v>85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B7074-2A0B-4818-A387-5F7DF5117920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EX1</vt:lpstr>
      <vt:lpstr>EX2</vt:lpstr>
      <vt:lpstr>EX3</vt:lpstr>
      <vt:lpstr>EX4</vt:lpstr>
      <vt:lpstr>EX5</vt:lpstr>
      <vt:lpstr>explanation</vt:lpstr>
    </vt:vector>
  </TitlesOfParts>
  <Company>www.xelplus.com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cp:lastModifiedBy>Prajwal Kumbhar</cp:lastModifiedBy>
  <dcterms:created xsi:type="dcterms:W3CDTF">2016-11-30T10:58:30Z</dcterms:created>
  <dcterms:modified xsi:type="dcterms:W3CDTF">2026-02-05T15:23:56Z</dcterms:modified>
</cp:coreProperties>
</file>