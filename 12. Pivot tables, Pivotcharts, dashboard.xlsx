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slicers/slicer4.xml" ContentType="application/vnd.ms-excel.slicer+xml"/>
  <Override PartName="/xl/timelines/timeline3.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rajawal\Downloads\"/>
    </mc:Choice>
  </mc:AlternateContent>
  <xr:revisionPtr revIDLastSave="0" documentId="13_ncr:1_{58CBDCA4-23EB-4575-9490-71FEFBF62DA4}" xr6:coauthVersionLast="47" xr6:coauthVersionMax="47" xr10:uidLastSave="{00000000-0000-0000-0000-000000000000}"/>
  <bookViews>
    <workbookView xWindow="-108" yWindow="-108" windowWidth="23256" windowHeight="13176" firstSheet="8" activeTab="12" xr2:uid="{00000000-000D-0000-FFFF-FFFF00000000}"/>
  </bookViews>
  <sheets>
    <sheet name="filter on montana" sheetId="3" r:id="rId1"/>
    <sheet name="filter on germany w paseo" sheetId="4" r:id="rId2"/>
    <sheet name="PT-country&amp;product-SalesPrice" sheetId="2" r:id="rId3"/>
    <sheet name="PT-Segment-Unitssold-MP" sheetId="5" r:id="rId4"/>
    <sheet name="PT-DB-COGS-Discounts" sheetId="6" r:id="rId5"/>
    <sheet name="PT-Date-Grosssales" sheetId="7" r:id="rId6"/>
    <sheet name="pivot chart-DB-country" sheetId="8" r:id="rId7"/>
    <sheet name="Product-COGS-pie chart" sheetId="10" r:id="rId8"/>
    <sheet name="Date-SP-line" sheetId="11" r:id="rId9"/>
    <sheet name="Segment-SP-donut chart" sheetId="12" r:id="rId10"/>
    <sheet name="pie chart-coountrywise-SP" sheetId="13" r:id="rId11"/>
    <sheet name="data" sheetId="1" r:id="rId12"/>
    <sheet name="Dashboard" sheetId="14" r:id="rId13"/>
  </sheets>
  <definedNames>
    <definedName name="_xlnm._FilterDatabase" localSheetId="11" hidden="1">data!$A$1:$K$701</definedName>
    <definedName name="NativeTimeline_Date">#N/A</definedName>
    <definedName name="Slicer_Country">#N/A</definedName>
    <definedName name="Slicer_Discount_Band">#N/A</definedName>
    <definedName name="Slicer_Product">#N/A</definedName>
    <definedName name="Slicer_Segment">#N/A</definedName>
  </definedNames>
  <calcPr calcId="191029"/>
  <pivotCaches>
    <pivotCache cacheId="1"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alcChain>
</file>

<file path=xl/sharedStrings.xml><?xml version="1.0" encoding="utf-8"?>
<sst xmlns="http://schemas.openxmlformats.org/spreadsheetml/2006/main" count="3467" uniqueCount="58">
  <si>
    <t>Segment</t>
  </si>
  <si>
    <t>Country</t>
  </si>
  <si>
    <t>Product</t>
  </si>
  <si>
    <t>Discount Band</t>
  </si>
  <si>
    <t>Units Sold</t>
  </si>
  <si>
    <t>Manufacturing Price</t>
  </si>
  <si>
    <t>Sale Price</t>
  </si>
  <si>
    <t>Gross Sales</t>
  </si>
  <si>
    <t>Discounts</t>
  </si>
  <si>
    <t>COGS</t>
  </si>
  <si>
    <t>Date</t>
  </si>
  <si>
    <t>Small Business</t>
  </si>
  <si>
    <t>France</t>
  </si>
  <si>
    <t>Amarilla</t>
  </si>
  <si>
    <t>High</t>
  </si>
  <si>
    <t>Government</t>
  </si>
  <si>
    <t>Medium</t>
  </si>
  <si>
    <t>Velo</t>
  </si>
  <si>
    <t>Paseo</t>
  </si>
  <si>
    <t>Low</t>
  </si>
  <si>
    <t>VTT</t>
  </si>
  <si>
    <t>Carretera</t>
  </si>
  <si>
    <t>None</t>
  </si>
  <si>
    <t>Germany</t>
  </si>
  <si>
    <t>United States of America</t>
  </si>
  <si>
    <t>Mexico</t>
  </si>
  <si>
    <t>Canada</t>
  </si>
  <si>
    <t>Montana</t>
  </si>
  <si>
    <t>Enterprise</t>
  </si>
  <si>
    <t>Channel Partners</t>
  </si>
  <si>
    <t>Midmarket</t>
  </si>
  <si>
    <t>Row Labels</t>
  </si>
  <si>
    <t>Grand Total</t>
  </si>
  <si>
    <t>Sum of Sale Price</t>
  </si>
  <si>
    <t>Column Labels</t>
  </si>
  <si>
    <t>Sum of Units Sold</t>
  </si>
  <si>
    <t>Sum of Manufacturing Price</t>
  </si>
  <si>
    <t>Sum of COGS</t>
  </si>
  <si>
    <t>Sum of Discounts</t>
  </si>
  <si>
    <t>Sum of Gross Sales</t>
  </si>
  <si>
    <t>2014</t>
  </si>
  <si>
    <t>Qtr4</t>
  </si>
  <si>
    <t>Nov</t>
  </si>
  <si>
    <t>2013</t>
  </si>
  <si>
    <t>Qtr3</t>
  </si>
  <si>
    <t>Sep</t>
  </si>
  <si>
    <t>Oct</t>
  </si>
  <si>
    <t>Dec</t>
  </si>
  <si>
    <t>Qtr1</t>
  </si>
  <si>
    <t>Jan</t>
  </si>
  <si>
    <t>Feb</t>
  </si>
  <si>
    <t>Mar</t>
  </si>
  <si>
    <t>Qtr2</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</si>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</sst>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7">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0" fontId="2" fillId="2" borderId="1" xfId="0" applyFont="1" applyFill="1" applyBorder="1"/>
    <xf numFmtId="0" fontId="2" fillId="2" borderId="2" xfId="0" applyFont="1" applyFill="1" applyBorder="1"/>
    <xf numFmtId="44" fontId="2" fillId="2" borderId="2" xfId="1" applyFont="1" applyFill="1" applyBorder="1"/>
    <xf numFmtId="14" fontId="2" fillId="2" borderId="3" xfId="1" applyNumberFormat="1" applyFont="1" applyFill="1" applyBorder="1"/>
    <xf numFmtId="14" fontId="0" fillId="0" borderId="3" xfId="0" applyNumberFormat="1" applyBorder="1"/>
    <xf numFmtId="14" fontId="0" fillId="0" borderId="6" xfId="0" applyNumberFormat="1" applyBorder="1"/>
    <xf numFmtId="49" fontId="0" fillId="0" borderId="1" xfId="0" applyNumberFormat="1" applyBorder="1"/>
    <xf numFmtId="49" fontId="0" fillId="0" borderId="2" xfId="0" applyNumberFormat="1" applyBorder="1"/>
    <xf numFmtId="49" fontId="0" fillId="0" borderId="4" xfId="0" applyNumberFormat="1" applyBorder="1"/>
    <xf numFmtId="49" fontId="0" fillId="0" borderId="5" xfId="0" applyNumberFormat="1" applyBorder="1"/>
    <xf numFmtId="1" fontId="0" fillId="0" borderId="2" xfId="0" applyNumberFormat="1" applyBorder="1"/>
    <xf numFmtId="1" fontId="0" fillId="0" borderId="5" xfId="0" applyNumberFormat="1" applyBorder="1"/>
    <xf numFmtId="164" fontId="0" fillId="0" borderId="2" xfId="0" applyNumberFormat="1" applyBorder="1"/>
    <xf numFmtId="164" fontId="0" fillId="0" borderId="5" xfId="0" applyNumberFormat="1" applyBorder="1"/>
    <xf numFmtId="0" fontId="0" fillId="0" borderId="0" xfId="0" pivotButton="1"/>
    <xf numFmtId="0" fontId="0" fillId="0" borderId="0" xfId="0" applyAlignment="1">
      <alignment horizontal="left"/>
    </xf>
    <xf numFmtId="14" fontId="0" fillId="0" borderId="0" xfId="0" applyNumberFormat="1"/>
    <xf numFmtId="0" fontId="0" fillId="3" borderId="0" xfId="0" applyFill="1"/>
    <xf numFmtId="14" fontId="0" fillId="0" borderId="0" xfId="0" applyNumberFormat="1"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cellXfs>
  <cellStyles count="2">
    <cellStyle name="Currency" xfId="1" builtinId="4"/>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dashboard.xlsx]PT-country&amp;product-SalesPrice!PivotTable1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'PT-country&amp;product-SalesPrice'!$B$3:$B$4</c:f>
              <c:strCache>
                <c:ptCount val="1"/>
                <c:pt idx="0">
                  <c:v>Mexico</c:v>
                </c:pt>
              </c:strCache>
            </c:strRef>
          </c:tx>
          <c:spPr>
            <a:solidFill>
              <a:schemeClr val="accent1"/>
            </a:solidFill>
            <a:ln>
              <a:noFill/>
            </a:ln>
            <a:effectLst/>
          </c:spPr>
          <c:invertIfNegative val="0"/>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'PT-country&amp;product-SalesPrice'!$B$5:$B$11</c:f>
              <c:numCache>
                <c:formatCode>General</c:formatCode>
                <c:ptCount val="6"/>
                <c:pt idx="0">
                  <c:v>2572</c:v>
                </c:pt>
                <c:pt idx="1">
                  <c:v>1871</c:v>
                </c:pt>
                <c:pt idx="2">
                  <c:v>4963</c:v>
                </c:pt>
                <c:pt idx="3">
                  <c:v>2019</c:v>
                </c:pt>
                <c:pt idx="4">
                  <c:v>2495</c:v>
                </c:pt>
                <c:pt idx="5">
                  <c:v>2660</c:v>
                </c:pt>
              </c:numCache>
            </c:numRef>
          </c:val>
          <c:extLst>
            <c:ext xmlns:c16="http://schemas.microsoft.com/office/drawing/2014/chart" uri="{C3380CC4-5D6E-409C-BE32-E72D297353CC}">
              <c16:uniqueId val="{00000000-27D6-4E11-83DE-15EBA467B125}"/>
            </c:ext>
          </c:extLst>
        </c:ser>
        <c:ser>
          <c:idx val="1"/>
          <c:order val="1"/>
          <c:tx>
            <c:strRef>
              <c:f>'PT-country&amp;product-SalesPrice'!$C$3:$C$4</c:f>
              <c:strCache>
                <c:ptCount val="1"/>
                <c:pt idx="0">
                  <c:v>Canada</c:v>
                </c:pt>
              </c:strCache>
            </c:strRef>
          </c:tx>
          <c:spPr>
            <a:solidFill>
              <a:schemeClr val="accent2"/>
            </a:solidFill>
            <a:ln>
              <a:noFill/>
            </a:ln>
            <a:effectLst/>
          </c:spPr>
          <c:invertIfNegative val="0"/>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'PT-country&amp;product-SalesPrice'!$C$5:$C$11</c:f>
              <c:numCache>
                <c:formatCode>General</c:formatCode>
                <c:ptCount val="6"/>
                <c:pt idx="0">
                  <c:v>3148</c:v>
                </c:pt>
                <c:pt idx="1">
                  <c:v>2172</c:v>
                </c:pt>
                <c:pt idx="2">
                  <c:v>4780</c:v>
                </c:pt>
                <c:pt idx="3">
                  <c:v>1686</c:v>
                </c:pt>
                <c:pt idx="4">
                  <c:v>1736</c:v>
                </c:pt>
                <c:pt idx="5">
                  <c:v>3058</c:v>
                </c:pt>
              </c:numCache>
            </c:numRef>
          </c:val>
          <c:extLst>
            <c:ext xmlns:c16="http://schemas.microsoft.com/office/drawing/2014/chart" uri="{C3380CC4-5D6E-409C-BE32-E72D297353CC}">
              <c16:uniqueId val="{00000005-27D6-4E11-83DE-15EBA467B125}"/>
            </c:ext>
          </c:extLst>
        </c:ser>
        <c:ser>
          <c:idx val="2"/>
          <c:order val="2"/>
          <c:tx>
            <c:strRef>
              <c:f>'PT-country&amp;product-SalesPrice'!$D$3:$D$4</c:f>
              <c:strCache>
                <c:ptCount val="1"/>
                <c:pt idx="0">
                  <c:v>Germany</c:v>
                </c:pt>
              </c:strCache>
            </c:strRef>
          </c:tx>
          <c:spPr>
            <a:solidFill>
              <a:schemeClr val="accent3"/>
            </a:solidFill>
            <a:ln>
              <a:noFill/>
            </a:ln>
            <a:effectLst/>
          </c:spPr>
          <c:invertIfNegative val="0"/>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'PT-country&amp;product-SalesPrice'!$D$5:$D$11</c:f>
              <c:numCache>
                <c:formatCode>General</c:formatCode>
                <c:ptCount val="6"/>
                <c:pt idx="0">
                  <c:v>2376</c:v>
                </c:pt>
                <c:pt idx="1">
                  <c:v>2557</c:v>
                </c:pt>
                <c:pt idx="2">
                  <c:v>4277</c:v>
                </c:pt>
                <c:pt idx="3">
                  <c:v>2665</c:v>
                </c:pt>
                <c:pt idx="4">
                  <c:v>2435</c:v>
                </c:pt>
                <c:pt idx="5">
                  <c:v>2270</c:v>
                </c:pt>
              </c:numCache>
            </c:numRef>
          </c:val>
          <c:extLst>
            <c:ext xmlns:c16="http://schemas.microsoft.com/office/drawing/2014/chart" uri="{C3380CC4-5D6E-409C-BE32-E72D297353CC}">
              <c16:uniqueId val="{00000006-27D6-4E11-83DE-15EBA467B125}"/>
            </c:ext>
          </c:extLst>
        </c:ser>
        <c:ser>
          <c:idx val="3"/>
          <c:order val="3"/>
          <c:tx>
            <c:strRef>
              <c:f>'PT-country&amp;product-SalesPrice'!$E$3:$E$4</c:f>
              <c:strCache>
                <c:ptCount val="1"/>
                <c:pt idx="0">
                  <c:v>France</c:v>
                </c:pt>
              </c:strCache>
            </c:strRef>
          </c:tx>
          <c:spPr>
            <a:solidFill>
              <a:schemeClr val="accent4"/>
            </a:solidFill>
            <a:ln>
              <a:noFill/>
            </a:ln>
            <a:effectLst/>
          </c:spPr>
          <c:invertIfNegative val="0"/>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'PT-country&amp;product-SalesPrice'!$E$5:$E$11</c:f>
              <c:numCache>
                <c:formatCode>General</c:formatCode>
                <c:ptCount val="6"/>
                <c:pt idx="0">
                  <c:v>3062</c:v>
                </c:pt>
                <c:pt idx="1">
                  <c:v>3143</c:v>
                </c:pt>
                <c:pt idx="2">
                  <c:v>3691</c:v>
                </c:pt>
                <c:pt idx="3">
                  <c:v>2605</c:v>
                </c:pt>
                <c:pt idx="4">
                  <c:v>2045</c:v>
                </c:pt>
                <c:pt idx="5">
                  <c:v>2034</c:v>
                </c:pt>
              </c:numCache>
            </c:numRef>
          </c:val>
          <c:extLst>
            <c:ext xmlns:c16="http://schemas.microsoft.com/office/drawing/2014/chart" uri="{C3380CC4-5D6E-409C-BE32-E72D297353CC}">
              <c16:uniqueId val="{00000007-27D6-4E11-83DE-15EBA467B125}"/>
            </c:ext>
          </c:extLst>
        </c:ser>
        <c:ser>
          <c:idx val="4"/>
          <c:order val="4"/>
          <c:tx>
            <c:strRef>
              <c:f>'PT-country&amp;product-SalesPrice'!$F$3:$F$4</c:f>
              <c:strCache>
                <c:ptCount val="1"/>
                <c:pt idx="0">
                  <c:v>United States of America</c:v>
                </c:pt>
              </c:strCache>
            </c:strRef>
          </c:tx>
          <c:spPr>
            <a:solidFill>
              <a:schemeClr val="accent5"/>
            </a:solidFill>
            <a:ln>
              <a:noFill/>
            </a:ln>
            <a:effectLst/>
          </c:spPr>
          <c:invertIfNegative val="0"/>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'PT-country&amp;product-SalesPrice'!$F$5:$F$11</c:f>
              <c:numCache>
                <c:formatCode>General</c:formatCode>
                <c:ptCount val="6"/>
                <c:pt idx="0">
                  <c:v>3948</c:v>
                </c:pt>
                <c:pt idx="1">
                  <c:v>2818</c:v>
                </c:pt>
                <c:pt idx="2">
                  <c:v>4141</c:v>
                </c:pt>
                <c:pt idx="3">
                  <c:v>1915</c:v>
                </c:pt>
                <c:pt idx="4">
                  <c:v>1684</c:v>
                </c:pt>
                <c:pt idx="5">
                  <c:v>2074</c:v>
                </c:pt>
              </c:numCache>
            </c:numRef>
          </c:val>
          <c:extLst>
            <c:ext xmlns:c16="http://schemas.microsoft.com/office/drawing/2014/chart" uri="{C3380CC4-5D6E-409C-BE32-E72D297353CC}">
              <c16:uniqueId val="{00000008-27D6-4E11-83DE-15EBA467B125}"/>
            </c:ext>
          </c:extLst>
        </c:ser>
        <c:dLbls>
          <c:showLegendKey val="0"/>
          <c:showVal val="0"/>
          <c:showCatName val="0"/>
          <c:showSerName val="0"/>
          <c:showPercent val="0"/>
          <c:showBubbleSize val="0"/>
        </c:dLbls>
        <c:gapWidth val="219"/>
        <c:overlap val="-27"/>
        <c:axId val="276006223"/>
        <c:axId val="276003311"/>
      </c:barChart>
      <c:catAx>
        <c:axId val="27600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03311"/>
        <c:crosses val="autoZero"/>
        <c:auto val="1"/>
        <c:lblAlgn val="ctr"/>
        <c:lblOffset val="100"/>
        <c:noMultiLvlLbl val="0"/>
      </c:catAx>
      <c:valAx>
        <c:axId val="27600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0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dashboard.xlsx]PT-Segment-Unitssold-MP!PivotTable2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'PT-Segment-Unitssold-MP'!$B$3</c:f>
              <c:strCache>
                <c:ptCount val="1"/>
                <c:pt idx="0">
                  <c:v>Sum of Units Sold</c:v>
                </c:pt>
              </c:strCache>
            </c:strRef>
          </c:tx>
          <c:spPr>
            <a:solidFill>
              <a:schemeClr val="accent1"/>
            </a:solidFill>
            <a:ln>
              <a:noFill/>
            </a:ln>
            <a:effectLst/>
          </c:spPr>
          <c:invertIfNegative val="0"/>
          <c:cat>
            <c:strRef>
              <c:f>'PT-Segment-Unitssold-MP'!$A$4:$A$9</c:f>
              <c:strCache>
                <c:ptCount val="5"/>
                <c:pt idx="0">
                  <c:v>Channel Partners</c:v>
                </c:pt>
                <c:pt idx="1">
                  <c:v>Enterprise</c:v>
                </c:pt>
                <c:pt idx="2">
                  <c:v>Government</c:v>
                </c:pt>
                <c:pt idx="3">
                  <c:v>Midmarket</c:v>
                </c:pt>
                <c:pt idx="4">
                  <c:v>Small Business</c:v>
                </c:pt>
              </c:strCache>
            </c:strRef>
          </c:cat>
          <c:val>
            <c:numRef>
              <c:f>'PT-Segment-Unitssold-MP'!$B$4:$B$9</c:f>
              <c:numCache>
                <c:formatCode>General</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0-E0BC-4A0E-9362-297955C60AB6}"/>
            </c:ext>
          </c:extLst>
        </c:ser>
        <c:dLbls>
          <c:showLegendKey val="0"/>
          <c:showVal val="0"/>
          <c:showCatName val="0"/>
          <c:showSerName val="0"/>
          <c:showPercent val="0"/>
          <c:showBubbleSize val="0"/>
        </c:dLbls>
        <c:gapWidth val="219"/>
        <c:axId val="197002991"/>
        <c:axId val="196997999"/>
      </c:barChart>
      <c:lineChart>
        <c:grouping val="standard"/>
        <c:varyColors val="0"/>
        <c:ser>
          <c:idx val="1"/>
          <c:order val="1"/>
          <c:tx>
            <c:strRef>
              <c:f>'PT-Segment-Unitssold-MP'!$C$3</c:f>
              <c:strCache>
                <c:ptCount val="1"/>
                <c:pt idx="0">
                  <c:v>Sum of Manufacturing 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'PT-Segment-Unitssold-MP'!$A$4:$A$9</c:f>
              <c:strCache>
                <c:ptCount val="5"/>
                <c:pt idx="0">
                  <c:v>Channel Partners</c:v>
                </c:pt>
                <c:pt idx="1">
                  <c:v>Enterprise</c:v>
                </c:pt>
                <c:pt idx="2">
                  <c:v>Government</c:v>
                </c:pt>
                <c:pt idx="3">
                  <c:v>Midmarket</c:v>
                </c:pt>
                <c:pt idx="4">
                  <c:v>Small Business</c:v>
                </c:pt>
              </c:strCache>
            </c:strRef>
          </c:cat>
          <c:val>
            <c:numRef>
              <c:f>'PT-Segment-Unitssold-MP'!$C$4:$C$9</c:f>
              <c:numCache>
                <c:formatCode>General</c:formatCode>
                <c:ptCount val="5"/>
                <c:pt idx="0">
                  <c:v>9714</c:v>
                </c:pt>
                <c:pt idx="1">
                  <c:v>9505</c:v>
                </c:pt>
                <c:pt idx="2">
                  <c:v>29138</c:v>
                </c:pt>
                <c:pt idx="3">
                  <c:v>8756</c:v>
                </c:pt>
                <c:pt idx="4">
                  <c:v>10421</c:v>
                </c:pt>
              </c:numCache>
            </c:numRef>
          </c:val>
          <c:smooth val="0"/>
          <c:extLst>
            <c:ext xmlns:c16="http://schemas.microsoft.com/office/drawing/2014/chart" uri="{C3380CC4-5D6E-409C-BE32-E72D297353CC}">
              <c16:uniqueId val="{00000001-E0BC-4A0E-9362-297955C60AB6}"/>
            </c:ext>
          </c:extLst>
        </c:ser>
        <c:dLbls>
          <c:showLegendKey val="0"/>
          <c:showVal val="0"/>
          <c:showCatName val="0"/>
          <c:showSerName val="0"/>
          <c:showPercent val="0"/>
          <c:showBubbleSize val="0"/>
        </c:dLbls>
        <c:marker val="1"/>
        <c:smooth val="0"/>
        <c:axId val="199298495"/>
        <c:axId val="199298079"/>
      </c:lineChart>
      <c:catAx>
        <c:axId val="19700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7999"/>
        <c:crosses val="autoZero"/>
        <c:auto val="1"/>
        <c:lblAlgn val="ctr"/>
        <c:lblOffset val="100"/>
        <c:noMultiLvlLbl val="0"/>
      </c:catAx>
      <c:valAx>
        <c:axId val="19699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2991"/>
        <c:crosses val="autoZero"/>
        <c:crossBetween val="between"/>
      </c:valAx>
      <c:valAx>
        <c:axId val="1992980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8495"/>
        <c:crosses val="max"/>
        <c:crossBetween val="between"/>
      </c:valAx>
      <c:catAx>
        <c:axId val="199298495"/>
        <c:scaling>
          <c:orientation val="minMax"/>
        </c:scaling>
        <c:delete val="1"/>
        <c:axPos val="b"/>
        <c:numFmt formatCode="General" sourceLinked="1"/>
        <c:majorTickMark val="out"/>
        <c:minorTickMark val="none"/>
        <c:tickLblPos val="nextTo"/>
        <c:crossAx val="199298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dashboard.xlsx]PT-DB-COGS-Discounts!PivotTable3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'PT-DB-COGS-Discounts'!$B$3</c:f>
              <c:strCache>
                <c:ptCount val="1"/>
                <c:pt idx="0">
                  <c:v>Sum of COGS</c:v>
                </c:pt>
              </c:strCache>
            </c:strRef>
          </c:tx>
          <c:spPr>
            <a:solidFill>
              <a:schemeClr val="accent1"/>
            </a:solidFill>
            <a:ln>
              <a:noFill/>
            </a:ln>
            <a:effectLst/>
          </c:spPr>
          <c:invertIfNegative val="0"/>
          <c:cat>
            <c:strRef>
              <c:f>'PT-DB-COGS-Discounts'!$A$4:$A$8</c:f>
              <c:strCache>
                <c:ptCount val="4"/>
                <c:pt idx="0">
                  <c:v>High</c:v>
                </c:pt>
                <c:pt idx="1">
                  <c:v>Low</c:v>
                </c:pt>
                <c:pt idx="2">
                  <c:v>Medium</c:v>
                </c:pt>
                <c:pt idx="3">
                  <c:v>None</c:v>
                </c:pt>
              </c:strCache>
            </c:strRef>
          </c:cat>
          <c:val>
            <c:numRef>
              <c:f>'PT-DB-COGS-Discounts'!$B$4:$B$8</c:f>
              <c:numCache>
                <c:formatCode>General</c:formatCode>
                <c:ptCount val="4"/>
                <c:pt idx="0">
                  <c:v>33983620</c:v>
                </c:pt>
                <c:pt idx="1">
                  <c:v>28440921</c:v>
                </c:pt>
                <c:pt idx="2">
                  <c:v>33200908</c:v>
                </c:pt>
                <c:pt idx="3">
                  <c:v>6207199</c:v>
                </c:pt>
              </c:numCache>
            </c:numRef>
          </c:val>
          <c:extLst>
            <c:ext xmlns:c16="http://schemas.microsoft.com/office/drawing/2014/chart" uri="{C3380CC4-5D6E-409C-BE32-E72D297353CC}">
              <c16:uniqueId val="{00000000-B0D8-43B1-B3A4-D23D77EED10D}"/>
            </c:ext>
          </c:extLst>
        </c:ser>
        <c:ser>
          <c:idx val="1"/>
          <c:order val="1"/>
          <c:tx>
            <c:strRef>
              <c:f>'PT-DB-COGS-Discounts'!$C$3</c:f>
              <c:strCache>
                <c:ptCount val="1"/>
                <c:pt idx="0">
                  <c:v>Sum of Discounts</c:v>
                </c:pt>
              </c:strCache>
            </c:strRef>
          </c:tx>
          <c:spPr>
            <a:solidFill>
              <a:schemeClr val="accent2"/>
            </a:solidFill>
            <a:ln>
              <a:noFill/>
            </a:ln>
            <a:effectLst/>
          </c:spPr>
          <c:invertIfNegative val="0"/>
          <c:cat>
            <c:strRef>
              <c:f>'PT-DB-COGS-Discounts'!$A$4:$A$8</c:f>
              <c:strCache>
                <c:ptCount val="4"/>
                <c:pt idx="0">
                  <c:v>High</c:v>
                </c:pt>
                <c:pt idx="1">
                  <c:v>Low</c:v>
                </c:pt>
                <c:pt idx="2">
                  <c:v>Medium</c:v>
                </c:pt>
                <c:pt idx="3">
                  <c:v>None</c:v>
                </c:pt>
              </c:strCache>
            </c:strRef>
          </c:cat>
          <c:val>
            <c:numRef>
              <c:f>'PT-DB-COGS-Discounts'!$C$4:$C$8</c:f>
              <c:numCache>
                <c:formatCode>General</c:formatCode>
                <c:ptCount val="4"/>
                <c:pt idx="0">
                  <c:v>5317026.2750000022</c:v>
                </c:pt>
                <c:pt idx="1">
                  <c:v>885675.80000000028</c:v>
                </c:pt>
                <c:pt idx="2">
                  <c:v>3002546.165</c:v>
                </c:pt>
                <c:pt idx="3">
                  <c:v>0</c:v>
                </c:pt>
              </c:numCache>
            </c:numRef>
          </c:val>
          <c:extLst>
            <c:ext xmlns:c16="http://schemas.microsoft.com/office/drawing/2014/chart" uri="{C3380CC4-5D6E-409C-BE32-E72D297353CC}">
              <c16:uniqueId val="{00000001-B0D8-43B1-B3A4-D23D77EED10D}"/>
            </c:ext>
          </c:extLst>
        </c:ser>
        <c:dLbls>
          <c:showLegendKey val="0"/>
          <c:showVal val="0"/>
          <c:showCatName val="0"/>
          <c:showSerName val="0"/>
          <c:showPercent val="0"/>
          <c:showBubbleSize val="0"/>
        </c:dLbls>
        <c:gapWidth val="150"/>
        <c:overlap val="100"/>
        <c:axId val="2041576575"/>
        <c:axId val="187274815"/>
      </c:barChart>
      <c:catAx>
        <c:axId val="204157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74815"/>
        <c:crosses val="autoZero"/>
        <c:auto val="1"/>
        <c:lblAlgn val="ctr"/>
        <c:lblOffset val="100"/>
        <c:noMultiLvlLbl val="0"/>
      </c:catAx>
      <c:valAx>
        <c:axId val="18727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57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dashboard.xlsx]PT-DB-COGS-Discounts!PivotTable3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'PT-DB-COGS-Discounts'!$B$3</c:f>
              <c:strCache>
                <c:ptCount val="1"/>
                <c:pt idx="0">
                  <c:v>Sum of COGS</c:v>
                </c:pt>
              </c:strCache>
            </c:strRef>
          </c:tx>
          <c:spPr>
            <a:solidFill>
              <a:schemeClr val="accent1"/>
            </a:solidFill>
            <a:ln>
              <a:noFill/>
            </a:ln>
            <a:effectLst/>
          </c:spPr>
          <c:invertIfNegative val="0"/>
          <c:cat>
            <c:strRef>
              <c:f>'PT-DB-COGS-Discounts'!$A$4:$A$8</c:f>
              <c:strCache>
                <c:ptCount val="4"/>
                <c:pt idx="0">
                  <c:v>High</c:v>
                </c:pt>
                <c:pt idx="1">
                  <c:v>Low</c:v>
                </c:pt>
                <c:pt idx="2">
                  <c:v>Medium</c:v>
                </c:pt>
                <c:pt idx="3">
                  <c:v>None</c:v>
                </c:pt>
              </c:strCache>
            </c:strRef>
          </c:cat>
          <c:val>
            <c:numRef>
              <c:f>'PT-DB-COGS-Discounts'!$B$4:$B$8</c:f>
              <c:numCache>
                <c:formatCode>General</c:formatCode>
                <c:ptCount val="4"/>
                <c:pt idx="0">
                  <c:v>33983620</c:v>
                </c:pt>
                <c:pt idx="1">
                  <c:v>28440921</c:v>
                </c:pt>
                <c:pt idx="2">
                  <c:v>33200908</c:v>
                </c:pt>
                <c:pt idx="3">
                  <c:v>6207199</c:v>
                </c:pt>
              </c:numCache>
            </c:numRef>
          </c:val>
          <c:extLst>
            <c:ext xmlns:c16="http://schemas.microsoft.com/office/drawing/2014/chart" uri="{C3380CC4-5D6E-409C-BE32-E72D297353CC}">
              <c16:uniqueId val="{00000000-242F-444A-BA26-2D4E2923C94D}"/>
            </c:ext>
          </c:extLst>
        </c:ser>
        <c:ser>
          <c:idx val="1"/>
          <c:order val="1"/>
          <c:tx>
            <c:strRef>
              <c:f>'PT-DB-COGS-Discounts'!$C$3</c:f>
              <c:strCache>
                <c:ptCount val="1"/>
                <c:pt idx="0">
                  <c:v>Sum of Discounts</c:v>
                </c:pt>
              </c:strCache>
            </c:strRef>
          </c:tx>
          <c:spPr>
            <a:solidFill>
              <a:schemeClr val="accent2"/>
            </a:solidFill>
            <a:ln>
              <a:noFill/>
            </a:ln>
            <a:effectLst/>
          </c:spPr>
          <c:invertIfNegative val="0"/>
          <c:cat>
            <c:strRef>
              <c:f>'PT-DB-COGS-Discounts'!$A$4:$A$8</c:f>
              <c:strCache>
                <c:ptCount val="4"/>
                <c:pt idx="0">
                  <c:v>High</c:v>
                </c:pt>
                <c:pt idx="1">
                  <c:v>Low</c:v>
                </c:pt>
                <c:pt idx="2">
                  <c:v>Medium</c:v>
                </c:pt>
                <c:pt idx="3">
                  <c:v>None</c:v>
                </c:pt>
              </c:strCache>
            </c:strRef>
          </c:cat>
          <c:val>
            <c:numRef>
              <c:f>'PT-DB-COGS-Discounts'!$C$4:$C$8</c:f>
              <c:numCache>
                <c:formatCode>General</c:formatCode>
                <c:ptCount val="4"/>
                <c:pt idx="0">
                  <c:v>5317026.2750000022</c:v>
                </c:pt>
                <c:pt idx="1">
                  <c:v>885675.80000000028</c:v>
                </c:pt>
                <c:pt idx="2">
                  <c:v>3002546.165</c:v>
                </c:pt>
                <c:pt idx="3">
                  <c:v>0</c:v>
                </c:pt>
              </c:numCache>
            </c:numRef>
          </c:val>
          <c:extLst>
            <c:ext xmlns:c16="http://schemas.microsoft.com/office/drawing/2014/chart" uri="{C3380CC4-5D6E-409C-BE32-E72D297353CC}">
              <c16:uniqueId val="{00000001-242F-444A-BA26-2D4E2923C94D}"/>
            </c:ext>
          </c:extLst>
        </c:ser>
        <c:dLbls>
          <c:showLegendKey val="0"/>
          <c:showVal val="0"/>
          <c:showCatName val="0"/>
          <c:showSerName val="0"/>
          <c:showPercent val="0"/>
          <c:showBubbleSize val="0"/>
        </c:dLbls>
        <c:gapWidth val="150"/>
        <c:overlap val="100"/>
        <c:axId val="128875615"/>
        <c:axId val="128877279"/>
      </c:barChart>
      <c:catAx>
        <c:axId val="12887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7279"/>
        <c:crosses val="autoZero"/>
        <c:auto val="1"/>
        <c:lblAlgn val="ctr"/>
        <c:lblOffset val="100"/>
        <c:noMultiLvlLbl val="0"/>
      </c:catAx>
      <c:valAx>
        <c:axId val="128877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dashboard.xlsx]PT-DB-COGS-Discounts!PivotTable3</c:name>
    <c:fmtId val="2"/>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'PT-DB-COGS-Discounts'!$B$3</c:f>
              <c:strCache>
                <c:ptCount val="1"/>
                <c:pt idx="0">
                  <c:v>Sum of COGS</c:v>
                </c:pt>
              </c:strCache>
            </c:strRef>
          </c:tx>
          <c:spPr>
            <a:solidFill>
              <a:schemeClr val="accent1"/>
            </a:solidFill>
            <a:ln>
              <a:noFill/>
            </a:ln>
            <a:effectLst/>
            <a:sp3d/>
          </c:spPr>
          <c:invertIfNegative val="0"/>
          <c:cat>
            <c:strRef>
              <c:f>'PT-DB-COGS-Discounts'!$A$4:$A$8</c:f>
              <c:strCache>
                <c:ptCount val="4"/>
                <c:pt idx="0">
                  <c:v>High</c:v>
                </c:pt>
                <c:pt idx="1">
                  <c:v>Low</c:v>
                </c:pt>
                <c:pt idx="2">
                  <c:v>Medium</c:v>
                </c:pt>
                <c:pt idx="3">
                  <c:v>None</c:v>
                </c:pt>
              </c:strCache>
            </c:strRef>
          </c:cat>
          <c:val>
            <c:numRef>
              <c:f>'PT-DB-COGS-Discounts'!$B$4:$B$8</c:f>
              <c:numCache>
                <c:formatCode>General</c:formatCode>
                <c:ptCount val="4"/>
                <c:pt idx="0">
                  <c:v>33983620</c:v>
                </c:pt>
                <c:pt idx="1">
                  <c:v>28440921</c:v>
                </c:pt>
                <c:pt idx="2">
                  <c:v>33200908</c:v>
                </c:pt>
                <c:pt idx="3">
                  <c:v>6207199</c:v>
                </c:pt>
              </c:numCache>
            </c:numRef>
          </c:val>
          <c:extLst>
            <c:ext xmlns:c16="http://schemas.microsoft.com/office/drawing/2014/chart" uri="{C3380CC4-5D6E-409C-BE32-E72D297353CC}">
              <c16:uniqueId val="{00000000-8693-4B8A-80DF-8820BC539BFF}"/>
            </c:ext>
          </c:extLst>
        </c:ser>
        <c:ser>
          <c:idx val="1"/>
          <c:order val="1"/>
          <c:tx>
            <c:strRef>
              <c:f>'PT-DB-COGS-Discounts'!$C$3</c:f>
              <c:strCache>
                <c:ptCount val="1"/>
                <c:pt idx="0">
                  <c:v>Sum of Discounts</c:v>
                </c:pt>
              </c:strCache>
            </c:strRef>
          </c:tx>
          <c:spPr>
            <a:solidFill>
              <a:schemeClr val="accent2"/>
            </a:solidFill>
            <a:ln>
              <a:noFill/>
            </a:ln>
            <a:effectLst/>
            <a:sp3d/>
          </c:spPr>
          <c:invertIfNegative val="0"/>
          <c:cat>
            <c:strRef>
              <c:f>'PT-DB-COGS-Discounts'!$A$4:$A$8</c:f>
              <c:strCache>
                <c:ptCount val="4"/>
                <c:pt idx="0">
                  <c:v>High</c:v>
                </c:pt>
                <c:pt idx="1">
                  <c:v>Low</c:v>
                </c:pt>
                <c:pt idx="2">
                  <c:v>Medium</c:v>
                </c:pt>
                <c:pt idx="3">
                  <c:v>None</c:v>
                </c:pt>
              </c:strCache>
            </c:strRef>
          </c:cat>
          <c:val>
            <c:numRef>
              <c:f>'PT-DB-COGS-Discounts'!$C$4:$C$8</c:f>
              <c:numCache>
                <c:formatCode>General</c:formatCode>
                <c:ptCount val="4"/>
                <c:pt idx="0">
                  <c:v>5317026.2750000022</c:v>
                </c:pt>
                <c:pt idx="1">
                  <c:v>885675.80000000028</c:v>
                </c:pt>
                <c:pt idx="2">
                  <c:v>3002546.165</c:v>
                </c:pt>
                <c:pt idx="3">
                  <c:v>0</c:v>
                </c:pt>
              </c:numCache>
            </c:numRef>
          </c:val>
          <c:extLst>
            <c:ext xmlns:c16="http://schemas.microsoft.com/office/drawing/2014/chart" uri="{C3380CC4-5D6E-409C-BE32-E72D297353CC}">
              <c16:uniqueId val="{00000001-8693-4B8A-80DF-8820BC539BFF}"/>
            </c:ext>
          </c:extLst>
        </c:ser>
        <c:dLbls>
          <c:showLegendKey val="0"/>
          <c:showVal val="0"/>
          <c:showCatName val="0"/>
          <c:showSerName val="0"/>
          <c:showPercent val="0"/>
          <c:showBubbleSize val="0"/>
        </c:dLbls>
        <c:gapWidth val="150"/>
        <c:shape val="box"/>
        <c:axId val="281761887"/>
        <c:axId val="281750239"/>
        <c:axId val="0"/>
      </c:bar3DChart>
      <c:catAx>
        <c:axId val="281761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750239"/>
        <c:crosses val="autoZero"/>
        <c:auto val="1"/>
        <c:lblAlgn val="ctr"/>
        <c:lblOffset val="100"/>
        <c:noMultiLvlLbl val="0"/>
      </c:catAx>
      <c:valAx>
        <c:axId val="2817502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76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dashboard.xlsx]PT-Date-Grosssales!PivotTable4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'PT-Date-Grosssales'!$B$3</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multiLvlStrRef>
              <c:f>'PT-Date-Grosssales'!$A$4:$A$44</c:f>
              <c:multiLvlStrCache>
                <c:ptCount val="16"/>
                <c:lvl>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lvl>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Qtr3</c:v>
                  </c:pt>
                  <c:pt idx="1">
                    <c:v>Qtr4</c:v>
                  </c:pt>
                  <c:pt idx="4">
                    <c:v>Qtr1</c:v>
                  </c:pt>
                  <c:pt idx="7">
                    <c:v>Qtr2</c:v>
                  </c:pt>
                  <c:pt idx="10">
                    <c:v>Qtr3</c:v>
                  </c:pt>
                  <c:pt idx="13">
                    <c:v>Qtr4</c:v>
                  </c:pt>
                </c:lvl>
                <c:lvl>
                  <c:pt idx="0">
                    <c:v>2013</c:v>
                  </c:pt>
                  <c:pt idx="4">
                    <c:v>2014</c:v>
                  </c:pt>
                </c:lvl>
              </c:multiLvlStrCache>
            </c:multiLvlStrRef>
          </c:cat>
          <c:val>
            <c:numRef>
              <c:f>'PT-Date-Grosssales'!$B$4:$B$44</c:f>
              <c:numCache>
                <c:formatCode>General</c:formatCode>
                <c:ptCount val="16"/>
                <c:pt idx="0">
                  <c:v>4729736</c:v>
                </c:pt>
                <c:pt idx="1">
                  <c:v>9828688</c:v>
                </c:pt>
                <c:pt idx="2">
                  <c:v>8167338</c:v>
                </c:pt>
                <c:pt idx="3">
                  <c:v>5835025</c:v>
                </c:pt>
                <c:pt idx="4">
                  <c:v>7307403.5</c:v>
                </c:pt>
                <c:pt idx="5">
                  <c:v>7699201</c:v>
                </c:pt>
                <c:pt idx="6">
                  <c:v>6124026</c:v>
                </c:pt>
                <c:pt idx="7">
                  <c:v>7429392.5</c:v>
                </c:pt>
                <c:pt idx="8">
                  <c:v>6767911</c:v>
                </c:pt>
                <c:pt idx="9">
                  <c:v>10268972</c:v>
                </c:pt>
                <c:pt idx="10">
                  <c:v>8833027.5</c:v>
                </c:pt>
                <c:pt idx="11">
                  <c:v>6325959</c:v>
                </c:pt>
                <c:pt idx="12">
                  <c:v>6845317</c:v>
                </c:pt>
                <c:pt idx="13">
                  <c:v>13313424</c:v>
                </c:pt>
                <c:pt idx="14">
                  <c:v>5947910</c:v>
                </c:pt>
                <c:pt idx="15">
                  <c:v>12508268</c:v>
                </c:pt>
              </c:numCache>
            </c:numRef>
          </c:val>
          <c:extLst>
            <c:ext xmlns:c16="http://schemas.microsoft.com/office/drawing/2014/chart" uri="{C3380CC4-5D6E-409C-BE32-E72D297353CC}">
              <c16:uniqueId val="{00000000-4156-4C76-AA86-86A3F844893E}"/>
            </c:ext>
          </c:extLst>
        </c:ser>
        <c:dLbls>
          <c:showLegendKey val="0"/>
          <c:showVal val="0"/>
          <c:showCatName val="0"/>
          <c:showSerName val="0"/>
          <c:showPercent val="0"/>
          <c:showBubbleSize val="0"/>
        </c:dLbls>
        <c:axId val="199301823"/>
        <c:axId val="199300159"/>
      </c:areaChart>
      <c:catAx>
        <c:axId val="199301823"/>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9300159"/>
        <c:crosses val="autoZero"/>
        <c:auto val="1"/>
        <c:lblAlgn val="ctr"/>
        <c:lblOffset val="100"/>
        <c:noMultiLvlLbl val="0"/>
      </c:catAx>
      <c:valAx>
        <c:axId val="19930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18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dashboard.xlsx]pivot chart-DB-country!PivotTable1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chart-DB-country'!$B$1:$B$2</c:f>
              <c:strCache>
                <c:ptCount val="1"/>
                <c:pt idx="0">
                  <c:v>High</c:v>
                </c:pt>
              </c:strCache>
            </c:strRef>
          </c:tx>
          <c:spPr>
            <a:solidFill>
              <a:schemeClr val="accent1"/>
            </a:solidFill>
            <a:ln>
              <a:noFill/>
            </a:ln>
            <a:effectLst/>
          </c:spPr>
          <c:invertIfNegative val="0"/>
          <c:cat>
            <c:strRef>
              <c:f>'pivot chart-DB-country'!$A$3:$A$8</c:f>
              <c:strCache>
                <c:ptCount val="5"/>
                <c:pt idx="0">
                  <c:v>Mexico</c:v>
                </c:pt>
                <c:pt idx="1">
                  <c:v>Canada</c:v>
                </c:pt>
                <c:pt idx="2">
                  <c:v>Germany</c:v>
                </c:pt>
                <c:pt idx="3">
                  <c:v>France</c:v>
                </c:pt>
                <c:pt idx="4">
                  <c:v>United States of America</c:v>
                </c:pt>
              </c:strCache>
            </c:strRef>
          </c:cat>
          <c:val>
            <c:numRef>
              <c:f>'pivot chart-DB-country'!$B$3:$B$8</c:f>
              <c:numCache>
                <c:formatCode>General</c:formatCode>
                <c:ptCount val="5"/>
                <c:pt idx="0">
                  <c:v>78860</c:v>
                </c:pt>
                <c:pt idx="1">
                  <c:v>94861</c:v>
                </c:pt>
                <c:pt idx="2">
                  <c:v>52010</c:v>
                </c:pt>
                <c:pt idx="3">
                  <c:v>80157.5</c:v>
                </c:pt>
                <c:pt idx="4">
                  <c:v>92197</c:v>
                </c:pt>
              </c:numCache>
            </c:numRef>
          </c:val>
          <c:extLst>
            <c:ext xmlns:c16="http://schemas.microsoft.com/office/drawing/2014/chart" uri="{C3380CC4-5D6E-409C-BE32-E72D297353CC}">
              <c16:uniqueId val="{00000000-D3C4-4417-B48F-BF234588E0E5}"/>
            </c:ext>
          </c:extLst>
        </c:ser>
        <c:ser>
          <c:idx val="1"/>
          <c:order val="1"/>
          <c:tx>
            <c:strRef>
              <c:f>'pivot chart-DB-country'!$C$1:$C$2</c:f>
              <c:strCache>
                <c:ptCount val="1"/>
                <c:pt idx="0">
                  <c:v>Low</c:v>
                </c:pt>
              </c:strCache>
            </c:strRef>
          </c:tx>
          <c:spPr>
            <a:solidFill>
              <a:schemeClr val="accent2"/>
            </a:solidFill>
            <a:ln>
              <a:noFill/>
            </a:ln>
            <a:effectLst/>
          </c:spPr>
          <c:invertIfNegative val="0"/>
          <c:cat>
            <c:strRef>
              <c:f>'pivot chart-DB-country'!$A$3:$A$8</c:f>
              <c:strCache>
                <c:ptCount val="5"/>
                <c:pt idx="0">
                  <c:v>Mexico</c:v>
                </c:pt>
                <c:pt idx="1">
                  <c:v>Canada</c:v>
                </c:pt>
                <c:pt idx="2">
                  <c:v>Germany</c:v>
                </c:pt>
                <c:pt idx="3">
                  <c:v>France</c:v>
                </c:pt>
                <c:pt idx="4">
                  <c:v>United States of America</c:v>
                </c:pt>
              </c:strCache>
            </c:strRef>
          </c:cat>
          <c:val>
            <c:numRef>
              <c:f>'pivot chart-DB-country'!$C$3:$C$8</c:f>
              <c:numCache>
                <c:formatCode>General</c:formatCode>
                <c:ptCount val="5"/>
                <c:pt idx="0">
                  <c:v>40731</c:v>
                </c:pt>
                <c:pt idx="1">
                  <c:v>61140.5</c:v>
                </c:pt>
                <c:pt idx="2">
                  <c:v>52174.5</c:v>
                </c:pt>
                <c:pt idx="3">
                  <c:v>55735.5</c:v>
                </c:pt>
                <c:pt idx="4">
                  <c:v>52077</c:v>
                </c:pt>
              </c:numCache>
            </c:numRef>
          </c:val>
          <c:extLst>
            <c:ext xmlns:c16="http://schemas.microsoft.com/office/drawing/2014/chart" uri="{C3380CC4-5D6E-409C-BE32-E72D297353CC}">
              <c16:uniqueId val="{00000001-D3C4-4417-B48F-BF234588E0E5}"/>
            </c:ext>
          </c:extLst>
        </c:ser>
        <c:ser>
          <c:idx val="2"/>
          <c:order val="2"/>
          <c:tx>
            <c:strRef>
              <c:f>'pivot chart-DB-country'!$D$1:$D$2</c:f>
              <c:strCache>
                <c:ptCount val="1"/>
                <c:pt idx="0">
                  <c:v>Medium</c:v>
                </c:pt>
              </c:strCache>
            </c:strRef>
          </c:tx>
          <c:spPr>
            <a:solidFill>
              <a:schemeClr val="accent3"/>
            </a:solidFill>
            <a:ln>
              <a:noFill/>
            </a:ln>
            <a:effectLst/>
          </c:spPr>
          <c:invertIfNegative val="0"/>
          <c:cat>
            <c:strRef>
              <c:f>'pivot chart-DB-country'!$A$3:$A$8</c:f>
              <c:strCache>
                <c:ptCount val="5"/>
                <c:pt idx="0">
                  <c:v>Mexico</c:v>
                </c:pt>
                <c:pt idx="1">
                  <c:v>Canada</c:v>
                </c:pt>
                <c:pt idx="2">
                  <c:v>Germany</c:v>
                </c:pt>
                <c:pt idx="3">
                  <c:v>France</c:v>
                </c:pt>
                <c:pt idx="4">
                  <c:v>United States of America</c:v>
                </c:pt>
              </c:strCache>
            </c:strRef>
          </c:cat>
          <c:val>
            <c:numRef>
              <c:f>'pivot chart-DB-country'!$D$3:$D$8</c:f>
              <c:numCache>
                <c:formatCode>General</c:formatCode>
                <c:ptCount val="5"/>
                <c:pt idx="0">
                  <c:v>71226</c:v>
                </c:pt>
                <c:pt idx="1">
                  <c:v>71613</c:v>
                </c:pt>
                <c:pt idx="2">
                  <c:v>71746</c:v>
                </c:pt>
                <c:pt idx="3">
                  <c:v>88103</c:v>
                </c:pt>
                <c:pt idx="4">
                  <c:v>77010.5</c:v>
                </c:pt>
              </c:numCache>
            </c:numRef>
          </c:val>
          <c:extLst>
            <c:ext xmlns:c16="http://schemas.microsoft.com/office/drawing/2014/chart" uri="{C3380CC4-5D6E-409C-BE32-E72D297353CC}">
              <c16:uniqueId val="{00000002-D3C4-4417-B48F-BF234588E0E5}"/>
            </c:ext>
          </c:extLst>
        </c:ser>
        <c:ser>
          <c:idx val="3"/>
          <c:order val="3"/>
          <c:tx>
            <c:strRef>
              <c:f>'pivot chart-DB-country'!$E$1:$E$2</c:f>
              <c:strCache>
                <c:ptCount val="1"/>
                <c:pt idx="0">
                  <c:v>None</c:v>
                </c:pt>
              </c:strCache>
            </c:strRef>
          </c:tx>
          <c:spPr>
            <a:solidFill>
              <a:schemeClr val="accent4"/>
            </a:solidFill>
            <a:ln>
              <a:noFill/>
            </a:ln>
            <a:effectLst/>
          </c:spPr>
          <c:invertIfNegative val="0"/>
          <c:cat>
            <c:strRef>
              <c:f>'pivot chart-DB-country'!$A$3:$A$8</c:f>
              <c:strCache>
                <c:ptCount val="5"/>
                <c:pt idx="0">
                  <c:v>Mexico</c:v>
                </c:pt>
                <c:pt idx="1">
                  <c:v>Canada</c:v>
                </c:pt>
                <c:pt idx="2">
                  <c:v>Germany</c:v>
                </c:pt>
                <c:pt idx="3">
                  <c:v>France</c:v>
                </c:pt>
                <c:pt idx="4">
                  <c:v>United States of America</c:v>
                </c:pt>
              </c:strCache>
            </c:strRef>
          </c:cat>
          <c:val>
            <c:numRef>
              <c:f>'pivot chart-DB-country'!$E$3:$E$8</c:f>
              <c:numCache>
                <c:formatCode>General</c:formatCode>
                <c:ptCount val="5"/>
                <c:pt idx="0">
                  <c:v>12508</c:v>
                </c:pt>
                <c:pt idx="1">
                  <c:v>19814</c:v>
                </c:pt>
                <c:pt idx="2">
                  <c:v>25563.5</c:v>
                </c:pt>
                <c:pt idx="3">
                  <c:v>16935</c:v>
                </c:pt>
                <c:pt idx="4">
                  <c:v>11343</c:v>
                </c:pt>
              </c:numCache>
            </c:numRef>
          </c:val>
          <c:extLst>
            <c:ext xmlns:c16="http://schemas.microsoft.com/office/drawing/2014/chart" uri="{C3380CC4-5D6E-409C-BE32-E72D297353CC}">
              <c16:uniqueId val="{00000000-7EB6-41EE-BA60-8B0ECB9CFE6E}"/>
            </c:ext>
          </c:extLst>
        </c:ser>
        <c:dLbls>
          <c:showLegendKey val="0"/>
          <c:showVal val="0"/>
          <c:showCatName val="0"/>
          <c:showSerName val="0"/>
          <c:showPercent val="0"/>
          <c:showBubbleSize val="0"/>
        </c:dLbls>
        <c:gapWidth val="219"/>
        <c:overlap val="-27"/>
        <c:axId val="128881439"/>
        <c:axId val="128876031"/>
      </c:barChart>
      <c:catAx>
        <c:axId val="12888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6031"/>
        <c:crosses val="autoZero"/>
        <c:auto val="1"/>
        <c:lblAlgn val="ctr"/>
        <c:lblOffset val="100"/>
        <c:noMultiLvlLbl val="0"/>
      </c:catAx>
      <c:valAx>
        <c:axId val="12887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dashboard.xlsx]Product-COGS-pie chart!PivotTable3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'Product-COGS-pie chart'!$B$1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3DA-4D2D-B120-CC4B8292234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3DA-4D2D-B120-CC4B8292234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3DA-4D2D-B120-CC4B8292234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3DA-4D2D-B120-CC4B82922342}"/>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3DA-4D2D-B120-CC4B82922342}"/>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3DA-4D2D-B120-CC4B82922342}"/>
              </c:ext>
            </c:extLst>
          </c:dPt>
          <c:dLbls>
            <c:dLbl>
              <c:idx val="0"/>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DA-4D2D-B120-CC4B82922342}"/>
                </c:ext>
              </c:extLst>
            </c:dLbl>
            <c:dLbl>
              <c:idx val="1"/>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DA-4D2D-B120-CC4B82922342}"/>
                </c:ext>
              </c:extLst>
            </c:dLbl>
            <c:dLbl>
              <c:idx val="2"/>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DA-4D2D-B120-CC4B82922342}"/>
                </c:ext>
              </c:extLst>
            </c:dLbl>
            <c:dLbl>
              <c:idx val="3"/>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DA-4D2D-B120-CC4B82922342}"/>
                </c:ext>
              </c:extLst>
            </c:dLbl>
            <c:dLbl>
              <c:idx val="4"/>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DA-4D2D-B120-CC4B8292234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'Product-COGS-pie chart'!$A$2:$A$8</c:f>
              <c:strCache>
                <c:ptCount val="6"/>
                <c:pt idx="0">
                  <c:v>VTT</c:v>
                </c:pt>
                <c:pt idx="1">
                  <c:v>Velo</c:v>
                </c:pt>
                <c:pt idx="2">
                  <c:v>Paseo</c:v>
                </c:pt>
                <c:pt idx="3">
                  <c:v>Montana</c:v>
                </c:pt>
                <c:pt idx="4">
                  <c:v>Carretera</c:v>
                </c:pt>
                <c:pt idx="5">
                  <c:v>Amarilla</c:v>
                </c:pt>
              </c:strCache>
            </c:strRef>
          </c:cat>
          <c:val>
            <c:numRef>
              <c:f>'Product-COGS-pie chart'!$B$2:$B$8</c:f>
              <c:numCache>
                <c:formatCode>General</c:formatCode>
                <c:ptCount val="6"/>
                <c:pt idx="0">
                  <c:v>17477313</c:v>
                </c:pt>
                <c:pt idx="1">
                  <c:v>15944067</c:v>
                </c:pt>
                <c:pt idx="2">
                  <c:v>28213706</c:v>
                </c:pt>
                <c:pt idx="3">
                  <c:v>13276047</c:v>
                </c:pt>
                <c:pt idx="4">
                  <c:v>11988503</c:v>
                </c:pt>
                <c:pt idx="5">
                  <c:v>14933012</c:v>
                </c:pt>
              </c:numCache>
            </c:numRef>
          </c:val>
          <c:extLst>
            <c:ext xmlns:c16="http://schemas.microsoft.com/office/drawing/2014/chart" uri="{C3380CC4-5D6E-409C-BE32-E72D297353CC}">
              <c16:uniqueId val="{00000000-03DA-4D2D-B120-CC4B8292234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dashboard.xlsx]Date-SP-line!PivotTable4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'Date-SP-line'!$B$1</c:f>
              <c:strCache>
                <c:ptCount val="1"/>
                <c:pt idx="0">
                  <c:v>Total</c:v>
                </c:pt>
              </c:strCache>
            </c:strRef>
          </c:tx>
          <c:spPr>
            <a:ln w="28575" cap="rnd">
              <a:solidFill>
                <a:schemeClr val="accent1"/>
              </a:solidFill>
              <a:round/>
            </a:ln>
            <a:effectLst/>
          </c:spPr>
          <c:marker>
            <c:symbol val="none"/>
          </c:marker>
          <c:cat>
            <c:strRef>
              <c:f>'Date-SP-line'!$A$2:$A$18</c:f>
              <c:strCache>
                <c:ptCount val="16"/>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strCache>
            </c:strRef>
          </c:cat>
          <c:val>
            <c:numRef>
              <c:f>'Date-SP-line'!$B$2:$B$18</c:f>
              <c:numCache>
                <c:formatCode>General</c:formatCode>
                <c:ptCount val="16"/>
                <c:pt idx="0">
                  <c:v>4145</c:v>
                </c:pt>
                <c:pt idx="1">
                  <c:v>8290</c:v>
                </c:pt>
                <c:pt idx="2">
                  <c:v>4145</c:v>
                </c:pt>
                <c:pt idx="3">
                  <c:v>4145</c:v>
                </c:pt>
                <c:pt idx="4">
                  <c:v>4145</c:v>
                </c:pt>
                <c:pt idx="5">
                  <c:v>4145</c:v>
                </c:pt>
                <c:pt idx="6">
                  <c:v>4145</c:v>
                </c:pt>
                <c:pt idx="7">
                  <c:v>4145</c:v>
                </c:pt>
                <c:pt idx="8">
                  <c:v>4145</c:v>
                </c:pt>
                <c:pt idx="9">
                  <c:v>8290</c:v>
                </c:pt>
                <c:pt idx="10">
                  <c:v>4145</c:v>
                </c:pt>
                <c:pt idx="11">
                  <c:v>4145</c:v>
                </c:pt>
                <c:pt idx="12">
                  <c:v>4145</c:v>
                </c:pt>
                <c:pt idx="13">
                  <c:v>8290</c:v>
                </c:pt>
                <c:pt idx="14">
                  <c:v>4145</c:v>
                </c:pt>
                <c:pt idx="15">
                  <c:v>8290</c:v>
                </c:pt>
              </c:numCache>
            </c:numRef>
          </c:val>
          <c:smooth val="0"/>
          <c:extLst>
            <c:ext xmlns:c16="http://schemas.microsoft.com/office/drawing/2014/chart" uri="{C3380CC4-5D6E-409C-BE32-E72D297353CC}">
              <c16:uniqueId val="{00000000-57DC-47D1-BA6A-F8FF8DABC27E}"/>
            </c:ext>
          </c:extLst>
        </c:ser>
        <c:dLbls>
          <c:showLegendKey val="0"/>
          <c:showVal val="0"/>
          <c:showCatName val="0"/>
          <c:showSerName val="0"/>
          <c:showPercent val="0"/>
          <c:showBubbleSize val="0"/>
        </c:dLbls>
        <c:smooth val="0"/>
        <c:axId val="308104415"/>
        <c:axId val="308100255"/>
      </c:lineChart>
      <c:catAx>
        <c:axId val="30810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100255"/>
        <c:crosses val="autoZero"/>
        <c:auto val="1"/>
        <c:lblAlgn val="ctr"/>
        <c:lblOffset val="100"/>
        <c:noMultiLvlLbl val="0"/>
      </c:catAx>
      <c:valAx>
        <c:axId val="30810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10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dashboard.xlsx]Segment-SP-donut chart!PivotTable5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'Segment-SP-donut chart'!$B$1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CB3-4A80-A69F-C7C5D147F4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CB3-4A80-A69F-C7C5D147F42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CB3-4A80-A69F-C7C5D147F42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CB3-4A80-A69F-C7C5D147F42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CB3-4A80-A69F-C7C5D147F4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'Segment-SP-donut chart'!$A$2:$A$7</c:f>
              <c:strCache>
                <c:ptCount val="5"/>
                <c:pt idx="0">
                  <c:v>Channel Partners</c:v>
                </c:pt>
                <c:pt idx="1">
                  <c:v>Enterprise</c:v>
                </c:pt>
                <c:pt idx="2">
                  <c:v>Government</c:v>
                </c:pt>
                <c:pt idx="3">
                  <c:v>Midmarket</c:v>
                </c:pt>
                <c:pt idx="4">
                  <c:v>Small Business</c:v>
                </c:pt>
              </c:strCache>
            </c:strRef>
          </c:cat>
          <c:val>
            <c:numRef>
              <c:f>'Segment-SP-donut chart'!$B$2:$B$7</c:f>
              <c:numCache>
                <c:formatCode>General</c:formatCode>
                <c:ptCount val="5"/>
                <c:pt idx="0">
                  <c:v>1200</c:v>
                </c:pt>
                <c:pt idx="1">
                  <c:v>12500</c:v>
                </c:pt>
                <c:pt idx="2">
                  <c:v>37700</c:v>
                </c:pt>
                <c:pt idx="3">
                  <c:v>1500</c:v>
                </c:pt>
                <c:pt idx="4">
                  <c:v>30000</c:v>
                </c:pt>
              </c:numCache>
            </c:numRef>
          </c:val>
          <c:extLst>
            <c:ext xmlns:c16="http://schemas.microsoft.com/office/drawing/2014/chart" uri="{C3380CC4-5D6E-409C-BE32-E72D297353CC}">
              <c16:uniqueId val="{00000000-1671-42C2-9AB2-11327256D4D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dashboard.xlsx]pie chart-coountrywise-SP!PivotTable6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chart-coountrywise-SP'!$B$1</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4F4E-46A1-9B77-D87789E8CFFD}"/>
              </c:ext>
            </c:extLst>
          </c:dPt>
          <c:dPt>
            <c:idx val="1"/>
            <c:bubble3D val="0"/>
            <c:spPr>
              <a:solidFill>
                <a:schemeClr val="accent2"/>
              </a:solidFill>
              <a:ln>
                <a:noFill/>
              </a:ln>
              <a:effectLst/>
              <a:sp3d/>
            </c:spPr>
            <c:extLst>
              <c:ext xmlns:c16="http://schemas.microsoft.com/office/drawing/2014/chart" uri="{C3380CC4-5D6E-409C-BE32-E72D297353CC}">
                <c16:uniqueId val="{00000003-4F4E-46A1-9B77-D87789E8CFFD}"/>
              </c:ext>
            </c:extLst>
          </c:dPt>
          <c:dPt>
            <c:idx val="2"/>
            <c:bubble3D val="0"/>
            <c:spPr>
              <a:solidFill>
                <a:schemeClr val="accent3"/>
              </a:solidFill>
              <a:ln>
                <a:noFill/>
              </a:ln>
              <a:effectLst/>
              <a:sp3d/>
            </c:spPr>
            <c:extLst>
              <c:ext xmlns:c16="http://schemas.microsoft.com/office/drawing/2014/chart" uri="{C3380CC4-5D6E-409C-BE32-E72D297353CC}">
                <c16:uniqueId val="{00000005-4F4E-46A1-9B77-D87789E8CFFD}"/>
              </c:ext>
            </c:extLst>
          </c:dPt>
          <c:dPt>
            <c:idx val="3"/>
            <c:bubble3D val="0"/>
            <c:spPr>
              <a:solidFill>
                <a:schemeClr val="accent4"/>
              </a:solidFill>
              <a:ln>
                <a:noFill/>
              </a:ln>
              <a:effectLst/>
              <a:sp3d/>
            </c:spPr>
            <c:extLst>
              <c:ext xmlns:c16="http://schemas.microsoft.com/office/drawing/2014/chart" uri="{C3380CC4-5D6E-409C-BE32-E72D297353CC}">
                <c16:uniqueId val="{00000007-4F4E-46A1-9B77-D87789E8CFFD}"/>
              </c:ext>
            </c:extLst>
          </c:dPt>
          <c:dPt>
            <c:idx val="4"/>
            <c:bubble3D val="0"/>
            <c:spPr>
              <a:solidFill>
                <a:schemeClr val="accent5"/>
              </a:solidFill>
              <a:ln>
                <a:noFill/>
              </a:ln>
              <a:effectLst/>
              <a:sp3d/>
            </c:spPr>
            <c:extLst>
              <c:ext xmlns:c16="http://schemas.microsoft.com/office/drawing/2014/chart" uri="{C3380CC4-5D6E-409C-BE32-E72D297353CC}">
                <c16:uniqueId val="{00000009-4F4E-46A1-9B77-D87789E8CFFD}"/>
              </c:ext>
            </c:extLst>
          </c:dPt>
          <c:cat>
            <c:strRef>
              <c:f>'pie chart-coountrywise-SP'!$A$2:$A$7</c:f>
              <c:strCache>
                <c:ptCount val="5"/>
                <c:pt idx="0">
                  <c:v>Mexico</c:v>
                </c:pt>
                <c:pt idx="1">
                  <c:v>Canada</c:v>
                </c:pt>
                <c:pt idx="2">
                  <c:v>Germany</c:v>
                </c:pt>
                <c:pt idx="3">
                  <c:v>France</c:v>
                </c:pt>
                <c:pt idx="4">
                  <c:v>United States of America</c:v>
                </c:pt>
              </c:strCache>
            </c:strRef>
          </c:cat>
          <c:val>
            <c:numRef>
              <c:f>'pie chart-coountrywise-SP'!$B$2:$B$7</c:f>
              <c:numCache>
                <c:formatCode>General</c:formatCode>
                <c:ptCount val="5"/>
                <c:pt idx="0">
                  <c:v>16580</c:v>
                </c:pt>
                <c:pt idx="1">
                  <c:v>16580</c:v>
                </c:pt>
                <c:pt idx="2">
                  <c:v>16580</c:v>
                </c:pt>
                <c:pt idx="3">
                  <c:v>16580</c:v>
                </c:pt>
                <c:pt idx="4">
                  <c:v>16580</c:v>
                </c:pt>
              </c:numCache>
            </c:numRef>
          </c:val>
          <c:extLst>
            <c:ext xmlns:c16="http://schemas.microsoft.com/office/drawing/2014/chart" uri="{C3380CC4-5D6E-409C-BE32-E72D297353CC}">
              <c16:uniqueId val="{00000000-E6E3-4987-8755-56E0850D6DB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[12. Pivot tables, Pivotcharts, dashboard.xlsx]PT-country&amp;product-SalesPrice!PivotTable1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And CountryWise</a:t>
            </a:r>
            <a:r>
              <a:rPr lang="en-IN" baseline="0"/>
              <a:t> Seles Pricce</a:t>
            </a:r>
            <a:endParaRPr lang="en-IN"/>
          </a:p>
        </c:rich>
      </c:tx>
      <c:layout>
        <c:manualLayout>
          <c:xMode val="edge"/>
          <c:yMode val="edge"/>
          <c:x val="0.31231193514245731"/>
          <c:y val="6.7635124350074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'PT-country&amp;product-SalesPrice'!$B$3:$B$4</c:f>
              <c:strCache>
                <c:ptCount val="1"/>
                <c:pt idx="0">
                  <c:v>Mexico</c:v>
                </c:pt>
              </c:strCache>
            </c:strRef>
          </c:tx>
          <c:spPr>
            <a:solidFill>
              <a:schemeClr val="accent1">
                <a:shade val="53000"/>
              </a:schemeClr>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'PT-country&amp;product-SalesPrice'!$B$5:$B$11</c:f>
              <c:numCache>
                <c:formatCode>General</c:formatCode>
                <c:ptCount val="6"/>
                <c:pt idx="0">
                  <c:v>2572</c:v>
                </c:pt>
                <c:pt idx="1">
                  <c:v>1871</c:v>
                </c:pt>
                <c:pt idx="2">
                  <c:v>4963</c:v>
                </c:pt>
                <c:pt idx="3">
                  <c:v>2019</c:v>
                </c:pt>
                <c:pt idx="4">
                  <c:v>2495</c:v>
                </c:pt>
                <c:pt idx="5">
                  <c:v>2660</c:v>
                </c:pt>
              </c:numCache>
            </c:numRef>
          </c:val>
          <c:extLst>
            <c:ext xmlns:c16="http://schemas.microsoft.com/office/drawing/2014/chart" uri="{C3380CC4-5D6E-409C-BE32-E72D297353CC}">
              <c16:uniqueId val="{00000000-22CF-42C3-B019-D351F3669681}"/>
            </c:ext>
          </c:extLst>
        </c:ser>
        <c:ser>
          <c:idx val="1"/>
          <c:order val="1"/>
          <c:tx>
            <c:strRef>
              <c:f>'PT-country&amp;product-SalesPrice'!$C$3:$C$4</c:f>
              <c:strCache>
                <c:ptCount val="1"/>
                <c:pt idx="0">
                  <c:v>Canada</c:v>
                </c:pt>
              </c:strCache>
            </c:strRef>
          </c:tx>
          <c:spPr>
            <a:solidFill>
              <a:schemeClr val="accent1">
                <a:shade val="76000"/>
              </a:schemeClr>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'PT-country&amp;product-SalesPrice'!$C$5:$C$11</c:f>
              <c:numCache>
                <c:formatCode>General</c:formatCode>
                <c:ptCount val="6"/>
                <c:pt idx="0">
                  <c:v>3148</c:v>
                </c:pt>
                <c:pt idx="1">
                  <c:v>2172</c:v>
                </c:pt>
                <c:pt idx="2">
                  <c:v>4780</c:v>
                </c:pt>
                <c:pt idx="3">
                  <c:v>1686</c:v>
                </c:pt>
                <c:pt idx="4">
                  <c:v>1736</c:v>
                </c:pt>
                <c:pt idx="5">
                  <c:v>3058</c:v>
                </c:pt>
              </c:numCache>
            </c:numRef>
          </c:val>
          <c:extLst>
            <c:ext xmlns:c16="http://schemas.microsoft.com/office/drawing/2014/chart" uri="{C3380CC4-5D6E-409C-BE32-E72D297353CC}">
              <c16:uniqueId val="{00000001-22CF-42C3-B019-D351F3669681}"/>
            </c:ext>
          </c:extLst>
        </c:ser>
        <c:ser>
          <c:idx val="2"/>
          <c:order val="2"/>
          <c:tx>
            <c:strRef>
              <c:f>'PT-country&amp;product-SalesPrice'!$D$3:$D$4</c:f>
              <c:strCache>
                <c:ptCount val="1"/>
                <c:pt idx="0">
                  <c:v>Germany</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'PT-country&amp;product-SalesPrice'!$D$5:$D$11</c:f>
              <c:numCache>
                <c:formatCode>General</c:formatCode>
                <c:ptCount val="6"/>
                <c:pt idx="0">
                  <c:v>2376</c:v>
                </c:pt>
                <c:pt idx="1">
                  <c:v>2557</c:v>
                </c:pt>
                <c:pt idx="2">
                  <c:v>4277</c:v>
                </c:pt>
                <c:pt idx="3">
                  <c:v>2665</c:v>
                </c:pt>
                <c:pt idx="4">
                  <c:v>2435</c:v>
                </c:pt>
                <c:pt idx="5">
                  <c:v>2270</c:v>
                </c:pt>
              </c:numCache>
            </c:numRef>
          </c:val>
          <c:extLst>
            <c:ext xmlns:c16="http://schemas.microsoft.com/office/drawing/2014/chart" uri="{C3380CC4-5D6E-409C-BE32-E72D297353CC}">
              <c16:uniqueId val="{00000002-22CF-42C3-B019-D351F3669681}"/>
            </c:ext>
          </c:extLst>
        </c:ser>
        <c:ser>
          <c:idx val="3"/>
          <c:order val="3"/>
          <c:tx>
            <c:strRef>
              <c:f>'PT-country&amp;product-SalesPrice'!$E$3:$E$4</c:f>
              <c:strCache>
                <c:ptCount val="1"/>
                <c:pt idx="0">
                  <c:v>France</c:v>
                </c:pt>
              </c:strCache>
            </c:strRef>
          </c:tx>
          <c:spPr>
            <a:solidFill>
              <a:schemeClr val="accent1">
                <a:tint val="77000"/>
              </a:schemeClr>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'PT-country&amp;product-SalesPrice'!$E$5:$E$11</c:f>
              <c:numCache>
                <c:formatCode>General</c:formatCode>
                <c:ptCount val="6"/>
                <c:pt idx="0">
                  <c:v>3062</c:v>
                </c:pt>
                <c:pt idx="1">
                  <c:v>3143</c:v>
                </c:pt>
                <c:pt idx="2">
                  <c:v>3691</c:v>
                </c:pt>
                <c:pt idx="3">
                  <c:v>2605</c:v>
                </c:pt>
                <c:pt idx="4">
                  <c:v>2045</c:v>
                </c:pt>
                <c:pt idx="5">
                  <c:v>2034</c:v>
                </c:pt>
              </c:numCache>
            </c:numRef>
          </c:val>
          <c:extLst>
            <c:ext xmlns:c16="http://schemas.microsoft.com/office/drawing/2014/chart" uri="{C3380CC4-5D6E-409C-BE32-E72D297353CC}">
              <c16:uniqueId val="{00000003-22CF-42C3-B019-D351F3669681}"/>
            </c:ext>
          </c:extLst>
        </c:ser>
        <c:ser>
          <c:idx val="4"/>
          <c:order val="4"/>
          <c:tx>
            <c:strRef>
              <c:f>'PT-country&amp;product-SalesPrice'!$F$3:$F$4</c:f>
              <c:strCache>
                <c:ptCount val="1"/>
                <c:pt idx="0">
                  <c:v>United States of America</c:v>
                </c:pt>
              </c:strCache>
            </c:strRef>
          </c:tx>
          <c:spPr>
            <a:solidFill>
              <a:schemeClr val="accent1">
                <a:tint val="54000"/>
              </a:schemeClr>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'PT-country&amp;product-SalesPrice'!$A$5:$A$11</c:f>
              <c:strCache>
                <c:ptCount val="6"/>
                <c:pt idx="0">
                  <c:v>VTT</c:v>
                </c:pt>
                <c:pt idx="1">
                  <c:v>Velo</c:v>
                </c:pt>
                <c:pt idx="2">
                  <c:v>Paseo</c:v>
                </c:pt>
                <c:pt idx="3">
                  <c:v>Montana</c:v>
                </c:pt>
                <c:pt idx="4">
                  <c:v>Carretera</c:v>
                </c:pt>
                <c:pt idx="5">
                  <c:v>Amarilla</c:v>
                </c:pt>
              </c:strCache>
            </c:strRef>
          </c:cat>
          <c:val>
            <c:numRef>
              <c:f>'PT-country&amp;product-SalesPrice'!$F$5:$F$11</c:f>
              <c:numCache>
                <c:formatCode>General</c:formatCode>
                <c:ptCount val="6"/>
                <c:pt idx="0">
                  <c:v>3948</c:v>
                </c:pt>
                <c:pt idx="1">
                  <c:v>2818</c:v>
                </c:pt>
                <c:pt idx="2">
                  <c:v>4141</c:v>
                </c:pt>
                <c:pt idx="3">
                  <c:v>1915</c:v>
                </c:pt>
                <c:pt idx="4">
                  <c:v>1684</c:v>
                </c:pt>
                <c:pt idx="5">
                  <c:v>2074</c:v>
                </c:pt>
              </c:numCache>
            </c:numRef>
          </c:val>
          <c:extLst>
            <c:ext xmlns:c16="http://schemas.microsoft.com/office/drawing/2014/chart" uri="{C3380CC4-5D6E-409C-BE32-E72D297353CC}">
              <c16:uniqueId val="{00000004-22CF-42C3-B019-D351F3669681}"/>
            </c:ext>
          </c:extLst>
        </c:ser>
        <c:dLbls>
          <c:dLblPos val="outEnd"/>
          <c:showLegendKey val="0"/>
          <c:showVal val="1"/>
          <c:showCatName val="0"/>
          <c:showSerName val="0"/>
          <c:showPercent val="0"/>
          <c:showBubbleSize val="0"/>
        </c:dLbls>
        <c:gapWidth val="219"/>
        <c:overlap val="-27"/>
        <c:axId val="276006223"/>
        <c:axId val="276003311"/>
      </c:barChart>
      <c:catAx>
        <c:axId val="276006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03311"/>
        <c:crosses val="autoZero"/>
        <c:auto val="1"/>
        <c:lblAlgn val="ctr"/>
        <c:lblOffset val="100"/>
        <c:noMultiLvlLbl val="0"/>
      </c:catAx>
      <c:valAx>
        <c:axId val="276003311"/>
        <c:scaling>
          <c:orientation val="minMax"/>
        </c:scaling>
        <c:delete val="1"/>
        <c:axPos val="l"/>
        <c:numFmt formatCode="General" sourceLinked="1"/>
        <c:majorTickMark val="out"/>
        <c:minorTickMark val="none"/>
        <c:tickLblPos val="nextTo"/>
        <c:crossAx val="276006223"/>
        <c:crosses val="autoZero"/>
        <c:crossBetween val="between"/>
      </c:valAx>
      <c:spPr>
        <a:noFill/>
        <a:ln>
          <a:noFill/>
        </a:ln>
        <a:effectLst/>
      </c:spPr>
    </c:plotArea>
    <c:legend>
      <c:legendPos val="r"/>
      <c:layout>
        <c:manualLayout>
          <c:xMode val="edge"/>
          <c:yMode val="edge"/>
          <c:x val="0.82737489698573752"/>
          <c:y val="0.33602289236391719"/>
          <c:w val="0.15542737758271977"/>
          <c:h val="0.485463665831469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[12. Pivot tables, Pivotcharts, dashboard.xlsx]PT-Segment-Unitssold-MP!PivotTable2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Segmentwise Manufacturing</a:t>
            </a:r>
            <a:r>
              <a:rPr lang="en-IN" baseline="0"/>
              <a:t> Price &amp; Units Sold</a:t>
            </a:r>
            <a:endParaRPr lang="en-IN"/>
          </a:p>
        </c:rich>
      </c:tx>
      <c:layout>
        <c:manualLayout>
          <c:xMode val="edge"/>
          <c:yMode val="edge"/>
          <c:x val="0.49102600559736381"/>
          <c:y val="9.78708364563117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5"/>
          </a:solidFill>
          <a:ln>
            <a:noFill/>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5"/>
          </a:solidFill>
          <a:ln>
            <a:noFill/>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5"/>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71861773494646E-2"/>
          <c:y val="0.18568244707347015"/>
          <c:w val="0.76457478240935572"/>
          <c:h val="0.73403485199746288"/>
        </c:manualLayout>
      </c:layout>
      <c:barChart>
        <c:barDir val="col"/>
        <c:grouping val="clustered"/>
        <c:varyColors val="0"/>
        <c:ser>
          <c:idx val="0"/>
          <c:order val="0"/>
          <c:tx>
            <c:strRef>
              <c:f>'PT-Segment-Unitssold-MP'!$B$3</c:f>
              <c:strCache>
                <c:ptCount val="1"/>
                <c:pt idx="0">
                  <c:v>Sum of Units Sold</c:v>
                </c:pt>
              </c:strCache>
            </c:strRef>
          </c:tx>
          <c:spPr>
            <a:solidFill>
              <a:schemeClr val="accent5">
                <a:shade val="76000"/>
              </a:schemeClr>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'PT-Segment-Unitssold-MP'!$A$4:$A$9</c:f>
              <c:strCache>
                <c:ptCount val="5"/>
                <c:pt idx="0">
                  <c:v>Channel Partners</c:v>
                </c:pt>
                <c:pt idx="1">
                  <c:v>Enterprise</c:v>
                </c:pt>
                <c:pt idx="2">
                  <c:v>Government</c:v>
                </c:pt>
                <c:pt idx="3">
                  <c:v>Midmarket</c:v>
                </c:pt>
                <c:pt idx="4">
                  <c:v>Small Business</c:v>
                </c:pt>
              </c:strCache>
            </c:strRef>
          </c:cat>
          <c:val>
            <c:numRef>
              <c:f>'PT-Segment-Unitssold-MP'!$B$4:$B$9</c:f>
              <c:numCache>
                <c:formatCode>General</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0-8F93-495E-9A47-50FDAC2A2EB3}"/>
            </c:ext>
          </c:extLst>
        </c:ser>
        <c:dLbls>
          <c:showLegendKey val="0"/>
          <c:showVal val="1"/>
          <c:showCatName val="0"/>
          <c:showSerName val="0"/>
          <c:showPercent val="0"/>
          <c:showBubbleSize val="0"/>
        </c:dLbls>
        <c:gapWidth val="219"/>
        <c:axId val="197002991"/>
        <c:axId val="196997999"/>
      </c:barChart>
      <c:lineChart>
        <c:grouping val="standard"/>
        <c:varyColors val="0"/>
        <c:ser>
          <c:idx val="1"/>
          <c:order val="1"/>
          <c:tx>
            <c:strRef>
              <c:f>'PT-Segment-Unitssold-MP'!$C$3</c:f>
              <c:strCache>
                <c:ptCount val="1"/>
                <c:pt idx="0">
                  <c:v>Sum of Manufacturing Price</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'PT-Segment-Unitssold-MP'!$A$4:$A$9</c:f>
              <c:strCache>
                <c:ptCount val="5"/>
                <c:pt idx="0">
                  <c:v>Channel Partners</c:v>
                </c:pt>
                <c:pt idx="1">
                  <c:v>Enterprise</c:v>
                </c:pt>
                <c:pt idx="2">
                  <c:v>Government</c:v>
                </c:pt>
                <c:pt idx="3">
                  <c:v>Midmarket</c:v>
                </c:pt>
                <c:pt idx="4">
                  <c:v>Small Business</c:v>
                </c:pt>
              </c:strCache>
            </c:strRef>
          </c:cat>
          <c:val>
            <c:numRef>
              <c:f>'PT-Segment-Unitssold-MP'!$C$4:$C$9</c:f>
              <c:numCache>
                <c:formatCode>General</c:formatCode>
                <c:ptCount val="5"/>
                <c:pt idx="0">
                  <c:v>9714</c:v>
                </c:pt>
                <c:pt idx="1">
                  <c:v>9505</c:v>
                </c:pt>
                <c:pt idx="2">
                  <c:v>29138</c:v>
                </c:pt>
                <c:pt idx="3">
                  <c:v>8756</c:v>
                </c:pt>
                <c:pt idx="4">
                  <c:v>10421</c:v>
                </c:pt>
              </c:numCache>
            </c:numRef>
          </c:val>
          <c:smooth val="0"/>
          <c:extLst>
            <c:ext xmlns:c16="http://schemas.microsoft.com/office/drawing/2014/chart" uri="{C3380CC4-5D6E-409C-BE32-E72D297353CC}">
              <c16:uniqueId val="{00000001-8F93-495E-9A47-50FDAC2A2EB3}"/>
            </c:ext>
          </c:extLst>
        </c:ser>
        <c:dLbls>
          <c:showLegendKey val="0"/>
          <c:showVal val="1"/>
          <c:showCatName val="0"/>
          <c:showSerName val="0"/>
          <c:showPercent val="0"/>
          <c:showBubbleSize val="0"/>
        </c:dLbls>
        <c:marker val="1"/>
        <c:smooth val="0"/>
        <c:axId val="199298495"/>
        <c:axId val="199298079"/>
      </c:lineChart>
      <c:catAx>
        <c:axId val="19700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7999"/>
        <c:crosses val="autoZero"/>
        <c:auto val="1"/>
        <c:lblAlgn val="ctr"/>
        <c:lblOffset val="100"/>
        <c:noMultiLvlLbl val="0"/>
      </c:catAx>
      <c:valAx>
        <c:axId val="196997999"/>
        <c:scaling>
          <c:orientation val="minMax"/>
        </c:scaling>
        <c:delete val="1"/>
        <c:axPos val="l"/>
        <c:numFmt formatCode="General" sourceLinked="1"/>
        <c:majorTickMark val="none"/>
        <c:minorTickMark val="none"/>
        <c:tickLblPos val="nextTo"/>
        <c:crossAx val="197002991"/>
        <c:crosses val="autoZero"/>
        <c:crossBetween val="between"/>
      </c:valAx>
      <c:valAx>
        <c:axId val="199298079"/>
        <c:scaling>
          <c:orientation val="minMax"/>
        </c:scaling>
        <c:delete val="1"/>
        <c:axPos val="r"/>
        <c:numFmt formatCode="General" sourceLinked="1"/>
        <c:majorTickMark val="out"/>
        <c:minorTickMark val="none"/>
        <c:tickLblPos val="nextTo"/>
        <c:crossAx val="199298495"/>
        <c:crosses val="max"/>
        <c:crossBetween val="between"/>
      </c:valAx>
      <c:catAx>
        <c:axId val="199298495"/>
        <c:scaling>
          <c:orientation val="minMax"/>
        </c:scaling>
        <c:delete val="1"/>
        <c:axPos val="b"/>
        <c:numFmt formatCode="General" sourceLinked="1"/>
        <c:majorTickMark val="out"/>
        <c:minorTickMark val="none"/>
        <c:tickLblPos val="nextTo"/>
        <c:crossAx val="199298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[12. Pivot tables, Pivotcharts, dashboard.xlsx]PT-DB-COGS-Discounts!PivotTable3</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DiscountBand</a:t>
            </a:r>
            <a:r>
              <a:rPr lang="en-US" baseline="0"/>
              <a:t>wise COGS &amp; Sum Of Discounts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'PT-DB-COGS-Discounts'!$B$3</c:f>
              <c:strCache>
                <c:ptCount val="1"/>
                <c:pt idx="0">
                  <c:v>Sum of COGS</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'PT-DB-COGS-Discounts'!$A$4:$A$8</c:f>
              <c:strCache>
                <c:ptCount val="4"/>
                <c:pt idx="0">
                  <c:v>High</c:v>
                </c:pt>
                <c:pt idx="1">
                  <c:v>Low</c:v>
                </c:pt>
                <c:pt idx="2">
                  <c:v>Medium</c:v>
                </c:pt>
                <c:pt idx="3">
                  <c:v>None</c:v>
                </c:pt>
              </c:strCache>
            </c:strRef>
          </c:cat>
          <c:val>
            <c:numRef>
              <c:f>'PT-DB-COGS-Discounts'!$B$4:$B$8</c:f>
              <c:numCache>
                <c:formatCode>General</c:formatCode>
                <c:ptCount val="4"/>
                <c:pt idx="0">
                  <c:v>33983620</c:v>
                </c:pt>
                <c:pt idx="1">
                  <c:v>28440921</c:v>
                </c:pt>
                <c:pt idx="2">
                  <c:v>33200908</c:v>
                </c:pt>
                <c:pt idx="3">
                  <c:v>6207199</c:v>
                </c:pt>
              </c:numCache>
            </c:numRef>
          </c:val>
          <c:extLst>
            <c:ext xmlns:c16="http://schemas.microsoft.com/office/drawing/2014/chart" uri="{C3380CC4-5D6E-409C-BE32-E72D297353CC}">
              <c16:uniqueId val="{00000000-CE24-409A-8BF2-948739E1BEA5}"/>
            </c:ext>
          </c:extLst>
        </c:ser>
        <c:ser>
          <c:idx val="1"/>
          <c:order val="1"/>
          <c:tx>
            <c:strRef>
              <c:f>'PT-DB-COGS-Discounts'!$C$3</c:f>
              <c:strCache>
                <c:ptCount val="1"/>
                <c:pt idx="0">
                  <c:v>Sum of Discounts</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'PT-DB-COGS-Discounts'!$A$4:$A$8</c:f>
              <c:strCache>
                <c:ptCount val="4"/>
                <c:pt idx="0">
                  <c:v>High</c:v>
                </c:pt>
                <c:pt idx="1">
                  <c:v>Low</c:v>
                </c:pt>
                <c:pt idx="2">
                  <c:v>Medium</c:v>
                </c:pt>
                <c:pt idx="3">
                  <c:v>None</c:v>
                </c:pt>
              </c:strCache>
            </c:strRef>
          </c:cat>
          <c:val>
            <c:numRef>
              <c:f>'PT-DB-COGS-Discounts'!$C$4:$C$8</c:f>
              <c:numCache>
                <c:formatCode>General</c:formatCode>
                <c:ptCount val="4"/>
                <c:pt idx="0">
                  <c:v>5317026.2750000022</c:v>
                </c:pt>
                <c:pt idx="1">
                  <c:v>885675.80000000028</c:v>
                </c:pt>
                <c:pt idx="2">
                  <c:v>3002546.165</c:v>
                </c:pt>
                <c:pt idx="3">
                  <c:v>0</c:v>
                </c:pt>
              </c:numCache>
            </c:numRef>
          </c:val>
          <c:extLst>
            <c:ext xmlns:c16="http://schemas.microsoft.com/office/drawing/2014/chart" uri="{C3380CC4-5D6E-409C-BE32-E72D297353CC}">
              <c16:uniqueId val="{00000001-CE24-409A-8BF2-948739E1BEA5}"/>
            </c:ext>
          </c:extLst>
        </c:ser>
        <c:dLbls>
          <c:dLblPos val="ctr"/>
          <c:showLegendKey val="0"/>
          <c:showVal val="1"/>
          <c:showCatName val="0"/>
          <c:showSerName val="0"/>
          <c:showPercent val="0"/>
          <c:showBubbleSize val="0"/>
        </c:dLbls>
        <c:gapWidth val="150"/>
        <c:overlap val="100"/>
        <c:axId val="128875615"/>
        <c:axId val="128877279"/>
      </c:barChart>
      <c:catAx>
        <c:axId val="12887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8877279"/>
        <c:crosses val="autoZero"/>
        <c:auto val="1"/>
        <c:lblAlgn val="ctr"/>
        <c:lblOffset val="100"/>
        <c:noMultiLvlLbl val="0"/>
      </c:catAx>
      <c:valAx>
        <c:axId val="128877279"/>
        <c:scaling>
          <c:orientation val="minMax"/>
        </c:scaling>
        <c:delete val="1"/>
        <c:axPos val="l"/>
        <c:numFmt formatCode="0%" sourceLinked="1"/>
        <c:majorTickMark val="none"/>
        <c:minorTickMark val="none"/>
        <c:tickLblPos val="nextTo"/>
        <c:crossAx val="12887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 Pivot tables, Pivotcharts, dashboard.xlsx]PT-Date-Grosssales!PivotTable4</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Datewise</a:t>
            </a:r>
            <a:r>
              <a:rPr lang="en-US" baseline="0"/>
              <a:t> Sum of Gross Sales</a:t>
            </a:r>
            <a:endParaRPr lang="en-US"/>
          </a:p>
        </c:rich>
      </c:tx>
      <c:layout>
        <c:manualLayout>
          <c:xMode val="edge"/>
          <c:yMode val="edge"/>
          <c:x val="0.41971608827065826"/>
          <c:y val="5.3163238028710411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'PT-Date-Grosssales'!$B$3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'PT-Date-Grosssales'!$A$4:$A$44</c:f>
              <c:multiLvlStrCache>
                <c:ptCount val="16"/>
                <c:lvl>
                  <c:pt idx="0">
                    <c:v>01-09-2013</c:v>
                  </c:pt>
                  <c:pt idx="1">
                    <c:v>01-10-2013</c:v>
                  </c:pt>
                  <c:pt idx="2">
                    <c:v>01-11-2013</c:v>
                  </c:pt>
                  <c:pt idx="3">
                    <c:v>01-12-2013</c:v>
                  </c:pt>
                  <c:pt idx="4">
                    <c:v>01-01-2014</c:v>
                  </c:pt>
                  <c:pt idx="5">
                    <c:v>01-02-2014</c:v>
                  </c:pt>
                  <c:pt idx="6">
                    <c:v>01-03-2014</c:v>
                  </c:pt>
                  <c:pt idx="7">
                    <c:v>01-04-2014</c:v>
                  </c:pt>
                  <c:pt idx="8">
                    <c:v>01-05-2014</c:v>
                  </c:pt>
                  <c:pt idx="9">
                    <c:v>01-06-2014</c:v>
                  </c:pt>
                  <c:pt idx="10">
                    <c:v>01-07-2014</c:v>
                  </c:pt>
                  <c:pt idx="11">
                    <c:v>01-08-2014</c:v>
                  </c:pt>
                  <c:pt idx="12">
                    <c:v>01-09-2014</c:v>
                  </c:pt>
                  <c:pt idx="13">
                    <c:v>01-10-2014</c:v>
                  </c:pt>
                  <c:pt idx="14">
                    <c:v>01-11-2014</c:v>
                  </c:pt>
                  <c:pt idx="15">
                    <c:v>01-12-2014</c:v>
                  </c:pt>
                </c:lvl>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Qtr3</c:v>
                  </c:pt>
                  <c:pt idx="1">
                    <c:v>Qtr4</c:v>
                  </c:pt>
                  <c:pt idx="4">
                    <c:v>Qtr1</c:v>
                  </c:pt>
                  <c:pt idx="7">
                    <c:v>Qtr2</c:v>
                  </c:pt>
                  <c:pt idx="10">
                    <c:v>Qtr3</c:v>
                  </c:pt>
                  <c:pt idx="13">
                    <c:v>Qtr4</c:v>
                  </c:pt>
                </c:lvl>
                <c:lvl>
                  <c:pt idx="0">
                    <c:v>2013</c:v>
                  </c:pt>
                  <c:pt idx="4">
                    <c:v>2014</c:v>
                  </c:pt>
                </c:lvl>
              </c:multiLvlStrCache>
            </c:multiLvlStrRef>
          </c:cat>
          <c:val>
            <c:numRef>
              <c:f>'PT-Date-Grosssales'!$B$4:$B$44</c:f>
              <c:numCache>
                <c:formatCode>General</c:formatCode>
                <c:ptCount val="16"/>
                <c:pt idx="0">
                  <c:v>4729736</c:v>
                </c:pt>
                <c:pt idx="1">
                  <c:v>9828688</c:v>
                </c:pt>
                <c:pt idx="2">
                  <c:v>8167338</c:v>
                </c:pt>
                <c:pt idx="3">
                  <c:v>5835025</c:v>
                </c:pt>
                <c:pt idx="4">
                  <c:v>7307403.5</c:v>
                </c:pt>
                <c:pt idx="5">
                  <c:v>7699201</c:v>
                </c:pt>
                <c:pt idx="6">
                  <c:v>6124026</c:v>
                </c:pt>
                <c:pt idx="7">
                  <c:v>7429392.5</c:v>
                </c:pt>
                <c:pt idx="8">
                  <c:v>6767911</c:v>
                </c:pt>
                <c:pt idx="9">
                  <c:v>10268972</c:v>
                </c:pt>
                <c:pt idx="10">
                  <c:v>8833027.5</c:v>
                </c:pt>
                <c:pt idx="11">
                  <c:v>6325959</c:v>
                </c:pt>
                <c:pt idx="12">
                  <c:v>6845317</c:v>
                </c:pt>
                <c:pt idx="13">
                  <c:v>13313424</c:v>
                </c:pt>
                <c:pt idx="14">
                  <c:v>5947910</c:v>
                </c:pt>
                <c:pt idx="15">
                  <c:v>12508268</c:v>
                </c:pt>
              </c:numCache>
            </c:numRef>
          </c:val>
          <c:extLst>
            <c:ext xmlns:c16="http://schemas.microsoft.com/office/drawing/2014/chart" uri="{C3380CC4-5D6E-409C-BE32-E72D297353CC}">
              <c16:uniqueId val="{00000002-8589-4875-AEBC-774AC565EE1D}"/>
            </c:ext>
          </c:extLst>
        </c:ser>
        <c:dLbls>
          <c:dLblPos val="outEnd"/>
          <c:showLegendKey val="0"/>
          <c:showVal val="1"/>
          <c:showCatName val="0"/>
          <c:showSerName val="0"/>
          <c:showPercent val="0"/>
          <c:showBubbleSize val="0"/>
        </c:dLbls>
        <c:gapWidth val="267"/>
        <c:overlap val="-43"/>
        <c:axId val="128881439"/>
        <c:axId val="128876031"/>
      </c:barChart>
      <c:catAx>
        <c:axId val="12888143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8876031"/>
        <c:crosses val="autoZero"/>
        <c:auto val="1"/>
        <c:lblAlgn val="ctr"/>
        <c:lblOffset val="100"/>
        <c:noMultiLvlLbl val="0"/>
      </c:catAx>
      <c:valAx>
        <c:axId val="128876031"/>
        <c:scaling>
          <c:orientation val="minMax"/>
        </c:scaling>
        <c:delete val="1"/>
        <c:axPos val="l"/>
        <c:numFmt formatCode="General" sourceLinked="1"/>
        <c:majorTickMark val="none"/>
        <c:minorTickMark val="none"/>
        <c:tickLblPos val="nextTo"/>
        <c:crossAx val="128881439"/>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[12. Pivot tables, Pivotcharts, dashboard.xlsx]pivot chart-DB-country!PivotTable1</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aseline="0"/>
              <a:t>Countrywise Units Sold</a:t>
            </a:r>
          </a:p>
          <a:p>
            <a:pPr>
              <a:defRPr/>
            </a:pP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chart-DB-country'!$B$1:$B$2</c:f>
              <c:strCache>
                <c:ptCount val="1"/>
                <c:pt idx="0">
                  <c:v>High</c:v>
                </c:pt>
              </c:strCache>
            </c:strRef>
          </c:tx>
          <c:spPr>
            <a:solidFill>
              <a:schemeClr val="accent5">
                <a:shade val="58000"/>
              </a:schemeClr>
            </a:solidFill>
            <a:ln>
              <a:noFill/>
            </a:ln>
            <a:effectLst/>
          </c:spPr>
          <c:invertIfNegative val="0"/>
          <c:dLbls>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chart-DB-country'!$A$3:$A$8</c:f>
              <c:strCache>
                <c:ptCount val="5"/>
                <c:pt idx="0">
                  <c:v>Mexico</c:v>
                </c:pt>
                <c:pt idx="1">
                  <c:v>Canada</c:v>
                </c:pt>
                <c:pt idx="2">
                  <c:v>Germany</c:v>
                </c:pt>
                <c:pt idx="3">
                  <c:v>France</c:v>
                </c:pt>
                <c:pt idx="4">
                  <c:v>United States of America</c:v>
                </c:pt>
              </c:strCache>
            </c:strRef>
          </c:cat>
          <c:val>
            <c:numRef>
              <c:f>'pivot chart-DB-country'!$B$3:$B$8</c:f>
              <c:numCache>
                <c:formatCode>General</c:formatCode>
                <c:ptCount val="5"/>
                <c:pt idx="0">
                  <c:v>78860</c:v>
                </c:pt>
                <c:pt idx="1">
                  <c:v>94861</c:v>
                </c:pt>
                <c:pt idx="2">
                  <c:v>52010</c:v>
                </c:pt>
                <c:pt idx="3">
                  <c:v>80157.5</c:v>
                </c:pt>
                <c:pt idx="4">
                  <c:v>92197</c:v>
                </c:pt>
              </c:numCache>
            </c:numRef>
          </c:val>
          <c:extLst>
            <c:ext xmlns:c16="http://schemas.microsoft.com/office/drawing/2014/chart" uri="{C3380CC4-5D6E-409C-BE32-E72D297353CC}">
              <c16:uniqueId val="{00000000-5723-4156-92B9-8E902D9621BD}"/>
            </c:ext>
          </c:extLst>
        </c:ser>
        <c:ser>
          <c:idx val="1"/>
          <c:order val="1"/>
          <c:tx>
            <c:strRef>
              <c:f>'pivot chart-DB-country'!$C$1:$C$2</c:f>
              <c:strCache>
                <c:ptCount val="1"/>
                <c:pt idx="0">
                  <c:v>Low</c:v>
                </c:pt>
              </c:strCache>
            </c:strRef>
          </c:tx>
          <c:spPr>
            <a:solidFill>
              <a:schemeClr val="accent5">
                <a:shade val="86000"/>
              </a:schemeClr>
            </a:solidFill>
            <a:ln>
              <a:noFill/>
            </a:ln>
            <a:effectLst/>
          </c:spPr>
          <c:invertIfNegative val="0"/>
          <c:dLbls>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chart-DB-country'!$A$3:$A$8</c:f>
              <c:strCache>
                <c:ptCount val="5"/>
                <c:pt idx="0">
                  <c:v>Mexico</c:v>
                </c:pt>
                <c:pt idx="1">
                  <c:v>Canada</c:v>
                </c:pt>
                <c:pt idx="2">
                  <c:v>Germany</c:v>
                </c:pt>
                <c:pt idx="3">
                  <c:v>France</c:v>
                </c:pt>
                <c:pt idx="4">
                  <c:v>United States of America</c:v>
                </c:pt>
              </c:strCache>
            </c:strRef>
          </c:cat>
          <c:val>
            <c:numRef>
              <c:f>'pivot chart-DB-country'!$C$3:$C$8</c:f>
              <c:numCache>
                <c:formatCode>General</c:formatCode>
                <c:ptCount val="5"/>
                <c:pt idx="0">
                  <c:v>40731</c:v>
                </c:pt>
                <c:pt idx="1">
                  <c:v>61140.5</c:v>
                </c:pt>
                <c:pt idx="2">
                  <c:v>52174.5</c:v>
                </c:pt>
                <c:pt idx="3">
                  <c:v>55735.5</c:v>
                </c:pt>
                <c:pt idx="4">
                  <c:v>52077</c:v>
                </c:pt>
              </c:numCache>
            </c:numRef>
          </c:val>
          <c:extLst>
            <c:ext xmlns:c16="http://schemas.microsoft.com/office/drawing/2014/chart" uri="{C3380CC4-5D6E-409C-BE32-E72D297353CC}">
              <c16:uniqueId val="{00000001-5723-4156-92B9-8E902D9621BD}"/>
            </c:ext>
          </c:extLst>
        </c:ser>
        <c:ser>
          <c:idx val="2"/>
          <c:order val="2"/>
          <c:tx>
            <c:strRef>
              <c:f>'pivot chart-DB-country'!$D$1:$D$2</c:f>
              <c:strCache>
                <c:ptCount val="1"/>
                <c:pt idx="0">
                  <c:v>Medium</c:v>
                </c:pt>
              </c:strCache>
            </c:strRef>
          </c:tx>
          <c:spPr>
            <a:solidFill>
              <a:schemeClr val="accent5">
                <a:tint val="86000"/>
              </a:schemeClr>
            </a:solidFill>
            <a:ln>
              <a:noFill/>
            </a:ln>
            <a:effectLst/>
          </c:spPr>
          <c:invertIfNegative val="0"/>
          <c:dLbls>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chart-DB-country'!$A$3:$A$8</c:f>
              <c:strCache>
                <c:ptCount val="5"/>
                <c:pt idx="0">
                  <c:v>Mexico</c:v>
                </c:pt>
                <c:pt idx="1">
                  <c:v>Canada</c:v>
                </c:pt>
                <c:pt idx="2">
                  <c:v>Germany</c:v>
                </c:pt>
                <c:pt idx="3">
                  <c:v>France</c:v>
                </c:pt>
                <c:pt idx="4">
                  <c:v>United States of America</c:v>
                </c:pt>
              </c:strCache>
            </c:strRef>
          </c:cat>
          <c:val>
            <c:numRef>
              <c:f>'pivot chart-DB-country'!$D$3:$D$8</c:f>
              <c:numCache>
                <c:formatCode>General</c:formatCode>
                <c:ptCount val="5"/>
                <c:pt idx="0">
                  <c:v>71226</c:v>
                </c:pt>
                <c:pt idx="1">
                  <c:v>71613</c:v>
                </c:pt>
                <c:pt idx="2">
                  <c:v>71746</c:v>
                </c:pt>
                <c:pt idx="3">
                  <c:v>88103</c:v>
                </c:pt>
                <c:pt idx="4">
                  <c:v>77010.5</c:v>
                </c:pt>
              </c:numCache>
            </c:numRef>
          </c:val>
          <c:extLst>
            <c:ext xmlns:c16="http://schemas.microsoft.com/office/drawing/2014/chart" uri="{C3380CC4-5D6E-409C-BE32-E72D297353CC}">
              <c16:uniqueId val="{00000002-5723-4156-92B9-8E902D9621BD}"/>
            </c:ext>
          </c:extLst>
        </c:ser>
        <c:ser>
          <c:idx val="3"/>
          <c:order val="3"/>
          <c:tx>
            <c:strRef>
              <c:f>'pivot chart-DB-country'!$E$1:$E$2</c:f>
              <c:strCache>
                <c:ptCount val="1"/>
                <c:pt idx="0">
                  <c:v>None</c:v>
                </c:pt>
              </c:strCache>
            </c:strRef>
          </c:tx>
          <c:spPr>
            <a:solidFill>
              <a:schemeClr val="accent5">
                <a:tint val="58000"/>
              </a:schemeClr>
            </a:solidFill>
            <a:ln>
              <a:noFill/>
            </a:ln>
            <a:effectLst/>
          </c:spPr>
          <c:invertIfNegative val="0"/>
          <c:dLbls>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chart-DB-country'!$A$3:$A$8</c:f>
              <c:strCache>
                <c:ptCount val="5"/>
                <c:pt idx="0">
                  <c:v>Mexico</c:v>
                </c:pt>
                <c:pt idx="1">
                  <c:v>Canada</c:v>
                </c:pt>
                <c:pt idx="2">
                  <c:v>Germany</c:v>
                </c:pt>
                <c:pt idx="3">
                  <c:v>France</c:v>
                </c:pt>
                <c:pt idx="4">
                  <c:v>United States of America</c:v>
                </c:pt>
              </c:strCache>
            </c:strRef>
          </c:cat>
          <c:val>
            <c:numRef>
              <c:f>'pivot chart-DB-country'!$E$3:$E$8</c:f>
              <c:numCache>
                <c:formatCode>General</c:formatCode>
                <c:ptCount val="5"/>
                <c:pt idx="0">
                  <c:v>12508</c:v>
                </c:pt>
                <c:pt idx="1">
                  <c:v>19814</c:v>
                </c:pt>
                <c:pt idx="2">
                  <c:v>25563.5</c:v>
                </c:pt>
                <c:pt idx="3">
                  <c:v>16935</c:v>
                </c:pt>
                <c:pt idx="4">
                  <c:v>11343</c:v>
                </c:pt>
              </c:numCache>
            </c:numRef>
          </c:val>
          <c:extLst>
            <c:ext xmlns:c16="http://schemas.microsoft.com/office/drawing/2014/chart" uri="{C3380CC4-5D6E-409C-BE32-E72D297353CC}">
              <c16:uniqueId val="{00000003-5723-4156-92B9-8E902D9621BD}"/>
            </c:ext>
          </c:extLst>
        </c:ser>
        <c:dLbls>
          <c:dLblPos val="outEnd"/>
          <c:showLegendKey val="0"/>
          <c:showVal val="1"/>
          <c:showCatName val="0"/>
          <c:showSerName val="0"/>
          <c:showPercent val="0"/>
          <c:showBubbleSize val="0"/>
        </c:dLbls>
        <c:gapWidth val="219"/>
        <c:overlap val="-27"/>
        <c:axId val="128881439"/>
        <c:axId val="128876031"/>
      </c:barChart>
      <c:catAx>
        <c:axId val="12888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8876031"/>
        <c:crosses val="autoZero"/>
        <c:auto val="1"/>
        <c:lblAlgn val="ctr"/>
        <c:lblOffset val="100"/>
        <c:noMultiLvlLbl val="0"/>
      </c:catAx>
      <c:valAx>
        <c:axId val="128876031"/>
        <c:scaling>
          <c:orientation val="minMax"/>
        </c:scaling>
        <c:delete val="1"/>
        <c:axPos val="l"/>
        <c:numFmt formatCode="General" sourceLinked="1"/>
        <c:majorTickMark val="out"/>
        <c:minorTickMark val="none"/>
        <c:tickLblPos val="nextTo"/>
        <c:crossAx val="12888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[12. Pivot tables, Pivotcharts, dashboard.xlsx]Product-COGS-pie chart!PivotTable3</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productwise</a:t>
            </a:r>
            <a:r>
              <a:rPr lang="en-IN" baseline="0"/>
              <a:t> sum of cogs</a:t>
            </a:r>
            <a:endParaRPr lang="en-IN"/>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83333333333334E-2"/>
          <c:y val="0.35291482712059835"/>
          <c:w val="0.81388888888888888"/>
          <c:h val="0.56541084459818247"/>
        </c:manualLayout>
      </c:layout>
      <c:pie3DChart>
        <c:varyColors val="1"/>
        <c:ser>
          <c:idx val="0"/>
          <c:order val="0"/>
          <c:tx>
            <c:strRef>
              <c:f>'Product-COGS-pie chart'!$B$1</c:f>
              <c:strCache>
                <c:ptCount val="1"/>
                <c:pt idx="0">
                  <c:v>Total</c:v>
                </c:pt>
              </c:strCache>
            </c:strRef>
          </c:tx>
          <c:dPt>
            <c:idx val="0"/>
            <c:bubble3D val="0"/>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D23-4DD3-B937-8B8DB0F57C95}"/>
              </c:ext>
            </c:extLst>
          </c:dPt>
          <c:dPt>
            <c:idx val="1"/>
            <c:bubble3D val="0"/>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D23-4DD3-B937-8B8DB0F57C95}"/>
              </c:ext>
            </c:extLst>
          </c:dPt>
          <c:dPt>
            <c:idx val="2"/>
            <c:bubble3D val="0"/>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D23-4DD3-B937-8B8DB0F57C95}"/>
              </c:ext>
            </c:extLst>
          </c:dPt>
          <c:dPt>
            <c:idx val="3"/>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D23-4DD3-B937-8B8DB0F57C95}"/>
              </c:ext>
            </c:extLst>
          </c:dPt>
          <c:dPt>
            <c:idx val="4"/>
            <c:bubble3D val="0"/>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D23-4DD3-B937-8B8DB0F57C95}"/>
              </c:ext>
            </c:extLst>
          </c:dPt>
          <c:dPt>
            <c:idx val="5"/>
            <c:bubble3D val="0"/>
            <c:spPr>
              <a:solidFill>
                <a:schemeClr val="accent1">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FD23-4DD3-B937-8B8DB0F57C95}"/>
              </c:ext>
            </c:extLst>
          </c:dPt>
          <c:dLbls>
            <c:dLbl>
              <c:idx val="0"/>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23-4DD3-B937-8B8DB0F57C95}"/>
                </c:ext>
              </c:extLst>
            </c:dLbl>
            <c:dLbl>
              <c:idx val="1"/>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23-4DD3-B937-8B8DB0F57C95}"/>
                </c:ext>
              </c:extLst>
            </c:dLbl>
            <c:dLbl>
              <c:idx val="2"/>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23-4DD3-B937-8B8DB0F57C95}"/>
                </c:ext>
              </c:extLst>
            </c:dLbl>
            <c:dLbl>
              <c:idx val="3"/>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23-4DD3-B937-8B8DB0F57C95}"/>
                </c:ext>
              </c:extLst>
            </c:dLbl>
            <c:dLbl>
              <c:idx val="4"/>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D23-4DD3-B937-8B8DB0F57C9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6="http://schemas.microsoft.com/office/drawing/2014/chart" uri="{C3380CC4-5D6E-409C-BE32-E72D297353CC}">
                  <c16:uniqueId val="{0000000B-FD23-4DD3-B937-8B8DB0F57C9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'Product-COGS-pie chart'!$A$2:$A$8</c:f>
              <c:strCache>
                <c:ptCount val="6"/>
                <c:pt idx="0">
                  <c:v>VTT</c:v>
                </c:pt>
                <c:pt idx="1">
                  <c:v>Velo</c:v>
                </c:pt>
                <c:pt idx="2">
                  <c:v>Paseo</c:v>
                </c:pt>
                <c:pt idx="3">
                  <c:v>Montana</c:v>
                </c:pt>
                <c:pt idx="4">
                  <c:v>Carretera</c:v>
                </c:pt>
                <c:pt idx="5">
                  <c:v>Amarilla</c:v>
                </c:pt>
              </c:strCache>
            </c:strRef>
          </c:cat>
          <c:val>
            <c:numRef>
              <c:f>'Product-COGS-pie chart'!$B$2:$B$8</c:f>
              <c:numCache>
                <c:formatCode>General</c:formatCode>
                <c:ptCount val="6"/>
                <c:pt idx="0">
                  <c:v>17477313</c:v>
                </c:pt>
                <c:pt idx="1">
                  <c:v>15944067</c:v>
                </c:pt>
                <c:pt idx="2">
                  <c:v>28213706</c:v>
                </c:pt>
                <c:pt idx="3">
                  <c:v>13276047</c:v>
                </c:pt>
                <c:pt idx="4">
                  <c:v>11988503</c:v>
                </c:pt>
                <c:pt idx="5">
                  <c:v>14933012</c:v>
                </c:pt>
              </c:numCache>
            </c:numRef>
          </c:val>
          <c:extLst>
            <c:ext xmlns:c16="http://schemas.microsoft.com/office/drawing/2014/chart" uri="{C3380CC4-5D6E-409C-BE32-E72D297353CC}">
              <c16:uniqueId val="{0000000C-FD23-4DD3-B937-8B8DB0F57C95}"/>
            </c:ext>
          </c:extLst>
        </c:ser>
        <c:dLbls>
          <c:dLblPos val="outEnd"/>
          <c:showLegendKey val="0"/>
          <c:showVal val="0"/>
          <c:showCatName val="1"/>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[12. Pivot tables, Pivotcharts, dashboard.xlsx]Segment-SP-donut chart!PivotTable5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Segmentwise</a:t>
            </a:r>
            <a:r>
              <a:rPr lang="en-US" baseline="0"/>
              <a:t> sale Price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hade val="53000"/>
            </a:schemeClr>
          </a:solidFill>
          <a:ln w="19050">
            <a:solidFill>
              <a:schemeClr val="lt1"/>
            </a:solidFill>
          </a:ln>
          <a:effectLst/>
        </c:spPr>
      </c:pivotFmt>
      <c:pivotFmt>
        <c:idx val="20"/>
        <c:spPr>
          <a:solidFill>
            <a:schemeClr val="accent5">
              <a:shade val="76000"/>
            </a:schemeClr>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tint val="77000"/>
            </a:schemeClr>
          </a:solidFill>
          <a:ln w="19050">
            <a:solidFill>
              <a:schemeClr val="lt1"/>
            </a:solidFill>
          </a:ln>
          <a:effectLst/>
        </c:spPr>
      </c:pivotFmt>
      <c:pivotFmt>
        <c:idx val="23"/>
        <c:spPr>
          <a:solidFill>
            <a:schemeClr val="accent5">
              <a:tint val="54000"/>
            </a:schemeClr>
          </a:solidFill>
          <a:ln w="19050">
            <a:solidFill>
              <a:schemeClr val="lt1"/>
            </a:solidFill>
          </a:ln>
          <a:effectLst/>
        </c:spPr>
      </c:pivotFmt>
    </c:pivotFmts>
    <c:plotArea>
      <c:layout/>
      <c:doughnutChart>
        <c:varyColors val="1"/>
        <c:ser>
          <c:idx val="0"/>
          <c:order val="0"/>
          <c:tx>
            <c:strRef>
              <c:f>'Segment-SP-donut chart'!$B$1</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9AF2-42B1-B0E9-EBA7DB2374DF}"/>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9AF2-42B1-B0E9-EBA7DB2374D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AF2-42B1-B0E9-EBA7DB2374DF}"/>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9AF2-42B1-B0E9-EBA7DB2374DF}"/>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9AF2-42B1-B0E9-EBA7DB2374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'Segment-SP-donut chart'!$A$2:$A$7</c:f>
              <c:strCache>
                <c:ptCount val="5"/>
                <c:pt idx="0">
                  <c:v>Channel Partners</c:v>
                </c:pt>
                <c:pt idx="1">
                  <c:v>Enterprise</c:v>
                </c:pt>
                <c:pt idx="2">
                  <c:v>Government</c:v>
                </c:pt>
                <c:pt idx="3">
                  <c:v>Midmarket</c:v>
                </c:pt>
                <c:pt idx="4">
                  <c:v>Small Business</c:v>
                </c:pt>
              </c:strCache>
            </c:strRef>
          </c:cat>
          <c:val>
            <c:numRef>
              <c:f>'Segment-SP-donut chart'!$B$2:$B$7</c:f>
              <c:numCache>
                <c:formatCode>General</c:formatCode>
                <c:ptCount val="5"/>
                <c:pt idx="0">
                  <c:v>1200</c:v>
                </c:pt>
                <c:pt idx="1">
                  <c:v>12500</c:v>
                </c:pt>
                <c:pt idx="2">
                  <c:v>37700</c:v>
                </c:pt>
                <c:pt idx="3">
                  <c:v>1500</c:v>
                </c:pt>
                <c:pt idx="4">
                  <c:v>30000</c:v>
                </c:pt>
              </c:numCache>
            </c:numRef>
          </c:val>
          <c:extLst>
            <c:ext xmlns:c16="http://schemas.microsoft.com/office/drawing/2014/chart" uri="{C3380CC4-5D6E-409C-BE32-E72D297353CC}">
              <c16:uniqueId val="{0000000A-9AF2-42B1-B0E9-EBA7DB2374D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[12. Pivot tables, Pivotcharts, dashboard.xlsx]pie chart-coountrywise-SP!PivotTable6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Wise Salce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a:sp3d/>
        </c:spPr>
        <c:marker>
          <c:symbol val="none"/>
        </c:marker>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pivotFmt>
      <c:pivotFmt>
        <c:idx val="4"/>
        <c:spPr>
          <a:solidFill>
            <a:schemeClr val="accent5"/>
          </a:solidFill>
          <a:ln>
            <a:noFill/>
          </a:ln>
          <a:effectLst/>
          <a:sp3d/>
        </c:spPr>
      </c:pivotFmt>
      <c:pivotFmt>
        <c:idx val="5"/>
        <c:spPr>
          <a:solidFill>
            <a:schemeClr val="accent5"/>
          </a:solidFill>
          <a:ln>
            <a:noFill/>
          </a:ln>
          <a:effectLst/>
          <a:sp3d/>
        </c:spPr>
      </c:pivotFmt>
      <c:pivotFmt>
        <c:idx val="6"/>
        <c:spPr>
          <a:solidFill>
            <a:schemeClr val="accent5"/>
          </a:solidFill>
          <a:ln>
            <a:noFill/>
          </a:ln>
          <a:effectLst/>
          <a:sp3d/>
        </c:spPr>
      </c:pivotFmt>
      <c:pivotFmt>
        <c:idx val="7"/>
        <c:spPr>
          <a:solidFill>
            <a:schemeClr val="accent5"/>
          </a:solidFill>
          <a:ln>
            <a:noFill/>
          </a:ln>
          <a:effectLst/>
          <a:sp3d/>
        </c:spPr>
      </c:pivotFmt>
      <c:pivotFmt>
        <c:idx val="8"/>
        <c:spPr>
          <a:solidFill>
            <a:schemeClr val="accent5"/>
          </a:solidFill>
          <a:ln>
            <a:noFill/>
          </a:ln>
          <a:effectLst/>
          <a:sp3d/>
        </c:spPr>
      </c:pivotFmt>
      <c:pivotFmt>
        <c:idx val="9"/>
        <c:spPr>
          <a:solidFill>
            <a:schemeClr val="accent5"/>
          </a:solidFill>
          <a:ln>
            <a:noFill/>
          </a:ln>
          <a:effectLst/>
          <a:sp3d/>
        </c:spPr>
      </c:pivotFmt>
      <c:pivotFmt>
        <c:idx val="10"/>
        <c:spPr>
          <a:solidFill>
            <a:schemeClr val="accent5"/>
          </a:solidFill>
          <a:ln>
            <a:noFill/>
          </a:ln>
          <a:effectLst/>
          <a:sp3d/>
        </c:spPr>
      </c:pivotFmt>
      <c:pivotFmt>
        <c:idx val="11"/>
        <c:spPr>
          <a:solidFill>
            <a:schemeClr val="accent5"/>
          </a:solidFill>
          <a:ln>
            <a:noFill/>
          </a:ln>
          <a:effectLst/>
          <a:sp3d/>
        </c:spPr>
      </c:pivotFmt>
      <c:pivotFmt>
        <c:idx val="12"/>
        <c:spPr>
          <a:solidFill>
            <a:schemeClr val="accent5"/>
          </a:solidFill>
          <a:ln>
            <a:noFill/>
          </a:ln>
          <a:effectLst/>
          <a:sp3d/>
        </c:spPr>
      </c:pivotFmt>
      <c:pivotFmt>
        <c:idx val="1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pivotFmt>
      <c:pivotFmt>
        <c:idx val="15"/>
        <c:spPr>
          <a:solidFill>
            <a:schemeClr val="accent5"/>
          </a:solidFill>
          <a:ln>
            <a:noFill/>
          </a:ln>
          <a:effectLst/>
          <a:sp3d/>
        </c:spPr>
      </c:pivotFmt>
      <c:pivotFmt>
        <c:idx val="16"/>
        <c:spPr>
          <a:solidFill>
            <a:schemeClr val="accent5"/>
          </a:solidFill>
          <a:ln>
            <a:noFill/>
          </a:ln>
          <a:effectLst/>
          <a:sp3d/>
        </c:spPr>
      </c:pivotFmt>
      <c:pivotFmt>
        <c:idx val="17"/>
        <c:spPr>
          <a:solidFill>
            <a:schemeClr val="accent5"/>
          </a:solidFill>
          <a:ln>
            <a:noFill/>
          </a:ln>
          <a:effectLst/>
          <a:sp3d/>
        </c:spPr>
      </c:pivotFmt>
      <c:pivotFmt>
        <c:idx val="18"/>
        <c:spPr>
          <a:solidFill>
            <a:schemeClr val="accent5"/>
          </a:solidFill>
          <a:ln>
            <a:noFill/>
          </a:ln>
          <a:effectLst/>
          <a:sp3d/>
        </c:spPr>
      </c:pivotFmt>
      <c:pivotFmt>
        <c:idx val="1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a:sp3d/>
        </c:spPr>
      </c:pivotFmt>
      <c:pivotFmt>
        <c:idx val="21"/>
        <c:spPr>
          <a:solidFill>
            <a:schemeClr val="accent5"/>
          </a:solidFill>
          <a:ln>
            <a:noFill/>
          </a:ln>
          <a:effectLst/>
          <a:sp3d/>
        </c:spPr>
      </c:pivotFmt>
      <c:pivotFmt>
        <c:idx val="22"/>
        <c:spPr>
          <a:solidFill>
            <a:schemeClr val="accent5"/>
          </a:solidFill>
          <a:ln>
            <a:noFill/>
          </a:ln>
          <a:effectLst/>
          <a:sp3d/>
        </c:spPr>
      </c:pivotFmt>
      <c:pivotFmt>
        <c:idx val="23"/>
        <c:spPr>
          <a:solidFill>
            <a:schemeClr val="accent5"/>
          </a:solidFill>
          <a:ln>
            <a:noFill/>
          </a:ln>
          <a:effectLst/>
          <a:sp3d/>
        </c:spPr>
      </c:pivotFmt>
      <c:pivotFmt>
        <c:idx val="24"/>
        <c:spPr>
          <a:solidFill>
            <a:schemeClr val="accent5"/>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272305564361803E-2"/>
          <c:y val="0.27653088360886818"/>
          <c:w val="0.62448017554036717"/>
          <c:h val="0.68119294982969325"/>
        </c:manualLayout>
      </c:layout>
      <c:pie3DChart>
        <c:varyColors val="1"/>
        <c:ser>
          <c:idx val="0"/>
          <c:order val="0"/>
          <c:tx>
            <c:strRef>
              <c:f>'pie chart-coountrywise-SP'!$B$1</c:f>
              <c:strCache>
                <c:ptCount val="1"/>
                <c:pt idx="0">
                  <c:v>Total</c:v>
                </c:pt>
              </c:strCache>
            </c:strRef>
          </c:tx>
          <c:dPt>
            <c:idx val="0"/>
            <c:bubble3D val="0"/>
            <c:spPr>
              <a:solidFill>
                <a:schemeClr val="accent5">
                  <a:shade val="53000"/>
                </a:schemeClr>
              </a:solidFill>
              <a:ln>
                <a:noFill/>
              </a:ln>
              <a:effectLst/>
              <a:sp3d/>
            </c:spPr>
            <c:extLst>
              <c:ext xmlns:c16="http://schemas.microsoft.com/office/drawing/2014/chart" uri="{C3380CC4-5D6E-409C-BE32-E72D297353CC}">
                <c16:uniqueId val="{00000001-CC25-4B94-92CA-C029DB7DD516}"/>
              </c:ext>
            </c:extLst>
          </c:dPt>
          <c:dPt>
            <c:idx val="1"/>
            <c:bubble3D val="0"/>
            <c:spPr>
              <a:solidFill>
                <a:schemeClr val="accent5">
                  <a:shade val="76000"/>
                </a:schemeClr>
              </a:solidFill>
              <a:ln>
                <a:noFill/>
              </a:ln>
              <a:effectLst/>
              <a:sp3d/>
            </c:spPr>
            <c:extLst>
              <c:ext xmlns:c16="http://schemas.microsoft.com/office/drawing/2014/chart" uri="{C3380CC4-5D6E-409C-BE32-E72D297353CC}">
                <c16:uniqueId val="{00000003-CC25-4B94-92CA-C029DB7DD516}"/>
              </c:ext>
            </c:extLst>
          </c:dPt>
          <c:dPt>
            <c:idx val="2"/>
            <c:bubble3D val="0"/>
            <c:spPr>
              <a:solidFill>
                <a:schemeClr val="accent5"/>
              </a:solidFill>
              <a:ln>
                <a:noFill/>
              </a:ln>
              <a:effectLst/>
              <a:sp3d/>
            </c:spPr>
            <c:extLst>
              <c:ext xmlns:c16="http://schemas.microsoft.com/office/drawing/2014/chart" uri="{C3380CC4-5D6E-409C-BE32-E72D297353CC}">
                <c16:uniqueId val="{00000005-CC25-4B94-92CA-C029DB7DD516}"/>
              </c:ext>
            </c:extLst>
          </c:dPt>
          <c:dPt>
            <c:idx val="3"/>
            <c:bubble3D val="0"/>
            <c:spPr>
              <a:solidFill>
                <a:schemeClr val="accent5">
                  <a:tint val="77000"/>
                </a:schemeClr>
              </a:solidFill>
              <a:ln>
                <a:noFill/>
              </a:ln>
              <a:effectLst/>
              <a:sp3d/>
            </c:spPr>
            <c:extLst>
              <c:ext xmlns:c16="http://schemas.microsoft.com/office/drawing/2014/chart" uri="{C3380CC4-5D6E-409C-BE32-E72D297353CC}">
                <c16:uniqueId val="{00000007-CC25-4B94-92CA-C029DB7DD516}"/>
              </c:ext>
            </c:extLst>
          </c:dPt>
          <c:dPt>
            <c:idx val="4"/>
            <c:bubble3D val="0"/>
            <c:spPr>
              <a:solidFill>
                <a:schemeClr val="accent5">
                  <a:tint val="54000"/>
                </a:schemeClr>
              </a:solidFill>
              <a:ln>
                <a:noFill/>
              </a:ln>
              <a:effectLst/>
              <a:sp3d/>
            </c:spPr>
            <c:extLst>
              <c:ext xmlns:c16="http://schemas.microsoft.com/office/drawing/2014/chart" uri="{C3380CC4-5D6E-409C-BE32-E72D297353CC}">
                <c16:uniqueId val="{00000009-CC25-4B94-92CA-C029DB7DD5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chart-coountrywise-SP'!$A$2:$A$7</c:f>
              <c:strCache>
                <c:ptCount val="5"/>
                <c:pt idx="0">
                  <c:v>Mexico</c:v>
                </c:pt>
                <c:pt idx="1">
                  <c:v>Canada</c:v>
                </c:pt>
                <c:pt idx="2">
                  <c:v>Germany</c:v>
                </c:pt>
                <c:pt idx="3">
                  <c:v>France</c:v>
                </c:pt>
                <c:pt idx="4">
                  <c:v>United States of America</c:v>
                </c:pt>
              </c:strCache>
            </c:strRef>
          </c:cat>
          <c:val>
            <c:numRef>
              <c:f>'pie chart-coountrywise-SP'!$B$2:$B$7</c:f>
              <c:numCache>
                <c:formatCode>General</c:formatCode>
                <c:ptCount val="5"/>
                <c:pt idx="0">
                  <c:v>16580</c:v>
                </c:pt>
                <c:pt idx="1">
                  <c:v>16580</c:v>
                </c:pt>
                <c:pt idx="2">
                  <c:v>16580</c:v>
                </c:pt>
                <c:pt idx="3">
                  <c:v>16580</c:v>
                </c:pt>
                <c:pt idx="4">
                  <c:v>16580</c:v>
                </c:pt>
              </c:numCache>
            </c:numRef>
          </c:val>
          <c:extLst>
            <c:ext xmlns:c16="http://schemas.microsoft.com/office/drawing/2014/chart" uri="{C3380CC4-5D6E-409C-BE32-E72D297353CC}">
              <c16:uniqueId val="{0000000A-CC25-4B94-92CA-C029DB7DD51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hyperlink" Target="#'PT-DB-COGS-Discounts'!A1"/><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hyperlink" Target="#'PT-Segment-Unitssold-MP'!A1"/><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hyperlink" Target="#'PT-country&amp;product-SalesPrice'!A1"/><Relationship Id="rId5" Type="http://schemas.openxmlformats.org/officeDocument/2006/relationships/chart" Target="../charts/chart16.xml"/><Relationship Id="rId10" Type="http://schemas.microsoft.com/office/2007/relationships/hdphoto" Target="../media/hdphoto1.wdp"/><Relationship Id="rId4" Type="http://schemas.openxmlformats.org/officeDocument/2006/relationships/chart" Target="../charts/chart15.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590550</xdr:colOff>
      <xdr:row>17</xdr:row>
      <xdr:rowOff>180975</xdr:rowOff>
    </xdr:from>
    <xdr:to>
      <xdr:col>10</xdr:col>
      <xdr:colOff>400050</xdr:colOff>
      <xdr:row>31</xdr:row>
      <xdr:rowOff>38100</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638925" y="3419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2</xdr:row>
      <xdr:rowOff>152400</xdr:rowOff>
    </xdr:from>
    <xdr:to>
      <xdr:col>14</xdr:col>
      <xdr:colOff>9525</xdr:colOff>
      <xdr:row>16</xdr:row>
      <xdr:rowOff>9525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686800" y="53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695325</xdr:colOff>
      <xdr:row>3</xdr:row>
      <xdr:rowOff>85725</xdr:rowOff>
    </xdr:from>
    <xdr:to>
      <xdr:col>10</xdr:col>
      <xdr:colOff>504825</xdr:colOff>
      <xdr:row>16</xdr:row>
      <xdr:rowOff>133350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743700" y="657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428625</xdr:colOff>
      <xdr:row>17</xdr:row>
      <xdr:rowOff>38100</xdr:rowOff>
    </xdr:from>
    <xdr:to>
      <xdr:col>14</xdr:col>
      <xdr:colOff>428625</xdr:colOff>
      <xdr:row>30</xdr:row>
      <xdr:rowOff>85725</xdr:rowOff>
    </xdr:to>
    <mc:AlternateContent xmlns:mc="http://schemas.openxmlformats.org/markup-compatibility/2006" xmlns:a14="http://schemas.microsoft.com/office/drawing/2010/main">
      <mc:Choice Requires="a14">
        <xdr:graphicFrame macro="">
          <xdr:nvGraphicFramePr>
            <xdr:cNvPr id="5" name="Discount Band">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9105900" y="3276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133350</xdr:colOff>
      <xdr:row>2</xdr:row>
      <xdr:rowOff>66675</xdr:rowOff>
    </xdr:from>
    <xdr:to>
      <xdr:col>19</xdr:col>
      <xdr:colOff>419100</xdr:colOff>
      <xdr:row>9</xdr:row>
      <xdr:rowOff>104775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639425" y="4476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0</xdr:col>
      <xdr:colOff>962025</xdr:colOff>
      <xdr:row>12</xdr:row>
      <xdr:rowOff>133350</xdr:rowOff>
    </xdr:from>
    <xdr:to>
      <xdr:col>6</xdr:col>
      <xdr:colOff>238125</xdr:colOff>
      <xdr:row>27</xdr:row>
      <xdr:rowOff>19050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566737</xdr:colOff>
      <xdr:row>2</xdr:row>
      <xdr:rowOff>38100</xdr:rowOff>
    </xdr:from>
    <xdr:to>
      <xdr:col>11</xdr:col>
      <xdr:colOff>261937</xdr:colOff>
      <xdr:row>16</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1057275</xdr:colOff>
      <xdr:row>13</xdr:row>
      <xdr:rowOff>114300</xdr:rowOff>
    </xdr:from>
    <xdr:to>
      <xdr:col>2</xdr:col>
      <xdr:colOff>792480</xdr:colOff>
      <xdr:row>26</xdr:row>
      <xdr:rowOff>161925</xdr:rowOff>
    </xdr:to>
    <mc:AlternateContent xmlns:mc="http://schemas.openxmlformats.org/markup-compatibility/2006" xmlns:a14="http://schemas.microsoft.com/office/drawing/2010/main">
      <mc:Choice Requires="a14">
        <xdr:graphicFrame macro="">
          <xdr:nvGraphicFramePr>
            <xdr:cNvPr id="3" name="Segment 1">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57275" y="2590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71437</xdr:colOff>
      <xdr:row>7</xdr:row>
      <xdr:rowOff>38099</xdr:rowOff>
    </xdr:from>
    <xdr:to>
      <xdr:col>10</xdr:col>
      <xdr:colOff>376237</xdr:colOff>
      <xdr:row>19</xdr:row>
      <xdr:rowOff>85724</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109537</xdr:colOff>
      <xdr:row>1</xdr:row>
      <xdr:rowOff>19050</xdr:rowOff>
    </xdr:from>
    <xdr:to>
      <xdr:col>17</xdr:col>
      <xdr:colOff>414337</xdr:colOff>
      <xdr:row>15</xdr:row>
      <xdr:rowOff>95250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433387</xdr:colOff>
      <xdr:row>20</xdr:row>
      <xdr:rowOff>0</xdr:rowOff>
    </xdr:from>
    <xdr:to>
      <xdr:col>11</xdr:col>
      <xdr:colOff>128587</xdr:colOff>
      <xdr:row>34</xdr:row>
      <xdr:rowOff>76200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195262</xdr:colOff>
      <xdr:row>5</xdr:row>
      <xdr:rowOff>9525</xdr:rowOff>
    </xdr:from>
    <xdr:to>
      <xdr:col>10</xdr:col>
      <xdr:colOff>500062</xdr:colOff>
      <xdr:row>19</xdr:row>
      <xdr:rowOff>85725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5</xdr:row>
      <xdr:rowOff>0</xdr:rowOff>
    </xdr:from>
    <xdr:to>
      <xdr:col>18</xdr:col>
      <xdr:colOff>285750</xdr:colOff>
      <xdr:row>12</xdr:row>
      <xdr:rowOff>38100</xdr:rowOff>
    </xdr:to>
    <mc:AlternateContent xmlns:mc="http://schemas.openxmlformats.org/markup-compatibility/2006" xmlns:tsle="http://schemas.microsoft.com/office/drawing/2012/timeslicer">
      <mc:Choice Requires="tsle">
        <xdr:graphicFrame macro="">
          <xdr:nvGraphicFramePr>
            <xdr:cNvPr id="3" name="Date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772525" y="952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485775</xdr:colOff>
      <xdr:row>9</xdr:row>
      <xdr:rowOff>123825</xdr:rowOff>
    </xdr:from>
    <xdr:to>
      <xdr:col>12</xdr:col>
      <xdr:colOff>180975</xdr:colOff>
      <xdr:row>24</xdr:row>
      <xdr:rowOff>9525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16</xdr:row>
      <xdr:rowOff>0</xdr:rowOff>
    </xdr:from>
    <xdr:to>
      <xdr:col>3</xdr:col>
      <xdr:colOff>411480</xdr:colOff>
      <xdr:row>29</xdr:row>
      <xdr:rowOff>47625</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76300" y="3048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144780</xdr:colOff>
      <xdr:row>0</xdr:row>
      <xdr:rowOff>68578</xdr:rowOff>
    </xdr:from>
    <xdr:to>
      <xdr:col>46</xdr:col>
      <xdr:colOff>70884</xdr:colOff>
      <xdr:row>119</xdr:row>
      <xdr:rowOff>104587</xdr:rowOff>
    </xdr:to>
    <xdr:sp macro="" textlink="">
      <xdr:nvSpPr>
        <xdr:cNvPr id="3" name="Rectangle 2">
          <a:extLst>
            <a:ext uri="{FF2B5EF4-FFF2-40B4-BE49-F238E27FC236}">
              <a16:creationId xmlns:a16="http://schemas.microsoft.com/office/drawing/2014/main" id="{E3F92AF0-5A93-AA81-3745-1F3E9893CDE9}"/>
            </a:ext>
          </a:extLst>
        </xdr:cNvPr>
        <xdr:cNvSpPr/>
      </xdr:nvSpPr>
      <xdr:spPr>
        <a:xfrm>
          <a:off x="144780" y="68578"/>
          <a:ext cx="27701751" cy="2137200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279251</xdr:colOff>
      <xdr:row>18</xdr:row>
      <xdr:rowOff>151653</xdr:rowOff>
    </xdr:from>
    <xdr:to>
      <xdr:col>14</xdr:col>
      <xdr:colOff>547221</xdr:colOff>
      <xdr:row>33</xdr:row>
      <xdr:rowOff>37353</xdr:rowOff>
    </xdr:to>
    <xdr:graphicFrame macro="">
      <xdr:nvGraphicFramePr>
        <xdr:cNvPr id="4" name="Chart 3">
          <a:extLst>
            <a:ext uri="{FF2B5EF4-FFF2-40B4-BE49-F238E27FC236}">
              <a16:creationId xmlns:a16="http://schemas.microsoft.com/office/drawing/2014/main" id="{18C11C6F-5B91-4C46-9F37-67623E72A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89645</xdr:colOff>
      <xdr:row>40</xdr:row>
      <xdr:rowOff>41336</xdr:rowOff>
    </xdr:from>
    <xdr:to>
      <xdr:col>29</xdr:col>
      <xdr:colOff>250837</xdr:colOff>
      <xdr:row>56</xdr:row>
      <xdr:rowOff>51432</xdr:rowOff>
    </xdr:to>
    <xdr:graphicFrame macro="">
      <xdr:nvGraphicFramePr>
        <xdr:cNvPr id="5" name="Chart 4">
          <a:extLst>
            <a:ext uri="{FF2B5EF4-FFF2-40B4-BE49-F238E27FC236}">
              <a16:creationId xmlns:a16="http://schemas.microsoft.com/office/drawing/2014/main" id="{2F4285BB-CA9D-4674-B832-A17CAA441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127001</xdr:colOff>
      <xdr:row>40</xdr:row>
      <xdr:rowOff>45932</xdr:rowOff>
    </xdr:from>
    <xdr:to>
      <xdr:col>14</xdr:col>
      <xdr:colOff>472831</xdr:colOff>
      <xdr:row>55</xdr:row>
      <xdr:rowOff>74132</xdr:rowOff>
    </xdr:to>
    <xdr:graphicFrame macro="">
      <xdr:nvGraphicFramePr>
        <xdr:cNvPr id="6" name="Chart 5">
          <a:extLst>
            <a:ext uri="{FF2B5EF4-FFF2-40B4-BE49-F238E27FC236}">
              <a16:creationId xmlns:a16="http://schemas.microsoft.com/office/drawing/2014/main" id="{B2A5502B-9BEE-4C67-A2EC-3A3BE07DB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224091</xdr:colOff>
      <xdr:row>63</xdr:row>
      <xdr:rowOff>119628</xdr:rowOff>
    </xdr:from>
    <xdr:to>
      <xdr:col>28</xdr:col>
      <xdr:colOff>168375</xdr:colOff>
      <xdr:row>96</xdr:row>
      <xdr:rowOff>93382</xdr:rowOff>
    </xdr:to>
    <xdr:graphicFrame macro="">
      <xdr:nvGraphicFramePr>
        <xdr:cNvPr id="7" name="Chart 6">
          <a:extLst>
            <a:ext uri="{FF2B5EF4-FFF2-40B4-BE49-F238E27FC236}">
              <a16:creationId xmlns:a16="http://schemas.microsoft.com/office/drawing/2014/main" id="{D2CB3449-52DB-4FD7-B5F6-0221E0C59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29883</xdr:colOff>
      <xdr:row>18</xdr:row>
      <xdr:rowOff>129491</xdr:rowOff>
    </xdr:from>
    <xdr:to>
      <xdr:col>28</xdr:col>
      <xdr:colOff>505701</xdr:colOff>
      <xdr:row>33</xdr:row>
      <xdr:rowOff>18777</xdr:rowOff>
    </xdr:to>
    <xdr:graphicFrame macro="">
      <xdr:nvGraphicFramePr>
        <xdr:cNvPr id="8" name="Chart 7">
          <a:extLst>
            <a:ext uri="{FF2B5EF4-FFF2-40B4-BE49-F238E27FC236}">
              <a16:creationId xmlns:a16="http://schemas.microsoft.com/office/drawing/2014/main" id="{0FB77369-8AEA-4138-9DB0-C4130616C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501176</xdr:colOff>
      <xdr:row>41</xdr:row>
      <xdr:rowOff>139931</xdr:rowOff>
    </xdr:from>
    <xdr:to>
      <xdr:col>45</xdr:col>
      <xdr:colOff>463176</xdr:colOff>
      <xdr:row>56</xdr:row>
      <xdr:rowOff>122021</xdr:rowOff>
    </xdr:to>
    <xdr:graphicFrame macro="">
      <xdr:nvGraphicFramePr>
        <xdr:cNvPr id="9" name="Chart 8">
          <a:extLst>
            <a:ext uri="{FF2B5EF4-FFF2-40B4-BE49-F238E27FC236}">
              <a16:creationId xmlns:a16="http://schemas.microsoft.com/office/drawing/2014/main" id="{6ED7FFD9-8B21-4EF7-8CEF-A6B2F391D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437967</xdr:colOff>
      <xdr:row>63</xdr:row>
      <xdr:rowOff>148330</xdr:rowOff>
    </xdr:from>
    <xdr:to>
      <xdr:col>45</xdr:col>
      <xdr:colOff>381000</xdr:colOff>
      <xdr:row>96</xdr:row>
      <xdr:rowOff>110815</xdr:rowOff>
    </xdr:to>
    <xdr:graphicFrame macro="">
      <xdr:nvGraphicFramePr>
        <xdr:cNvPr id="10" name="Chart 9">
          <a:extLst>
            <a:ext uri="{FF2B5EF4-FFF2-40B4-BE49-F238E27FC236}">
              <a16:creationId xmlns:a16="http://schemas.microsoft.com/office/drawing/2014/main" id="{E418A078-9160-4B92-92BC-F63F9ACBD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227565</xdr:colOff>
      <xdr:row>18</xdr:row>
      <xdr:rowOff>160361</xdr:rowOff>
    </xdr:from>
    <xdr:to>
      <xdr:col>45</xdr:col>
      <xdr:colOff>156883</xdr:colOff>
      <xdr:row>33</xdr:row>
      <xdr:rowOff>176804</xdr:rowOff>
    </xdr:to>
    <xdr:graphicFrame macro="">
      <xdr:nvGraphicFramePr>
        <xdr:cNvPr id="11" name="Chart 10">
          <a:extLst>
            <a:ext uri="{FF2B5EF4-FFF2-40B4-BE49-F238E27FC236}">
              <a16:creationId xmlns:a16="http://schemas.microsoft.com/office/drawing/2014/main" id="{28A1B2DE-24E0-4525-B42E-9514BB017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35</xdr:col>
      <xdr:colOff>167192</xdr:colOff>
      <xdr:row>13</xdr:row>
      <xdr:rowOff>46615</xdr:rowOff>
    </xdr:from>
    <xdr:to>
      <xdr:col>45</xdr:col>
      <xdr:colOff>291353</xdr:colOff>
      <xdr:row>18</xdr:row>
      <xdr:rowOff>0</xdr:rowOff>
    </xdr:to>
    <mc:AlternateContent xmlns:mc="http://schemas.openxmlformats.org/markup-compatibility/2006">
      <mc:Choice xmlns:a14="http://schemas.microsoft.com/office/drawing/2010/main" Requires="a14">
        <xdr:graphicFrame macro="">
          <xdr:nvGraphicFramePr>
            <xdr:cNvPr id="12" name="Segment 2">
              <a:extLst>
                <a:ext uri="{FF2B5EF4-FFF2-40B4-BE49-F238E27FC236}">
                  <a16:creationId xmlns:a16="http://schemas.microsoft.com/office/drawing/2014/main" id="{B982114B-B458-4D36-B57F-626C572DC19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21607780" y="2377439"/>
              <a:ext cx="5846632" cy="849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233209</xdr:colOff>
      <xdr:row>12</xdr:row>
      <xdr:rowOff>170505</xdr:rowOff>
    </xdr:from>
    <xdr:to>
      <xdr:col>13</xdr:col>
      <xdr:colOff>197016</xdr:colOff>
      <xdr:row>17</xdr:row>
      <xdr:rowOff>115708</xdr:rowOff>
    </xdr:to>
    <mc:AlternateContent xmlns:mc="http://schemas.openxmlformats.org/markup-compatibility/2006">
      <mc:Choice xmlns:a14="http://schemas.microsoft.com/office/drawing/2010/main" Requires="a14">
        <xdr:graphicFrame macro="">
          <xdr:nvGraphicFramePr>
            <xdr:cNvPr id="13" name="Country 1">
              <a:extLst>
                <a:ext uri="{FF2B5EF4-FFF2-40B4-BE49-F238E27FC236}">
                  <a16:creationId xmlns:a16="http://schemas.microsoft.com/office/drawing/2014/main" id="{8ED0258C-0488-4B1D-BAE1-D28401D894D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33209" y="2322034"/>
              <a:ext cx="7927454" cy="841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321273</xdr:colOff>
      <xdr:row>12</xdr:row>
      <xdr:rowOff>156660</xdr:rowOff>
    </xdr:from>
    <xdr:to>
      <xdr:col>26</xdr:col>
      <xdr:colOff>381001</xdr:colOff>
      <xdr:row>17</xdr:row>
      <xdr:rowOff>44824</xdr:rowOff>
    </xdr:to>
    <mc:AlternateContent xmlns:mc="http://schemas.openxmlformats.org/markup-compatibility/2006">
      <mc:Choice xmlns:a14="http://schemas.microsoft.com/office/drawing/2010/main" Requires="a14">
        <xdr:graphicFrame macro="">
          <xdr:nvGraphicFramePr>
            <xdr:cNvPr id="14" name="Product 2">
              <a:extLst>
                <a:ext uri="{FF2B5EF4-FFF2-40B4-BE49-F238E27FC236}">
                  <a16:creationId xmlns:a16="http://schemas.microsoft.com/office/drawing/2014/main" id="{C5864719-A84D-4282-BB75-D9F4A6197AC4}"/>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8284920" y="2308189"/>
              <a:ext cx="8023375" cy="784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28575</xdr:colOff>
      <xdr:row>13</xdr:row>
      <xdr:rowOff>34625</xdr:rowOff>
    </xdr:from>
    <xdr:to>
      <xdr:col>35</xdr:col>
      <xdr:colOff>44823</xdr:colOff>
      <xdr:row>17</xdr:row>
      <xdr:rowOff>134470</xdr:rowOff>
    </xdr:to>
    <mc:AlternateContent xmlns:mc="http://schemas.openxmlformats.org/markup-compatibility/2006">
      <mc:Choice xmlns:a14="http://schemas.microsoft.com/office/drawing/2010/main" Requires="a14">
        <xdr:graphicFrame macro="">
          <xdr:nvGraphicFramePr>
            <xdr:cNvPr id="15" name="Discount Band 1">
              <a:extLst>
                <a:ext uri="{FF2B5EF4-FFF2-40B4-BE49-F238E27FC236}">
                  <a16:creationId xmlns:a16="http://schemas.microsoft.com/office/drawing/2014/main" id="{B37A9FF9-3B64-436A-8E90-F06F4181F3EA}"/>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dr:sp macro="" textlink="">
          <xdr:nvSpPr>
            <xdr:cNvPr id="0" name=""/>
            <xdr:cNvSpPr>
              <a:spLocks noTextEdit="1"/>
            </xdr:cNvSpPr>
          </xdr:nvSpPr>
          <xdr:spPr>
            <a:xfrm>
              <a:off x="16568457" y="2365449"/>
              <a:ext cx="4916954" cy="817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268941</xdr:colOff>
      <xdr:row>104</xdr:row>
      <xdr:rowOff>37502</xdr:rowOff>
    </xdr:from>
    <xdr:to>
      <xdr:col>45</xdr:col>
      <xdr:colOff>425824</xdr:colOff>
      <xdr:row>117</xdr:row>
      <xdr:rowOff>167042</xdr:rowOff>
    </xdr:to>
    <mc:AlternateContent xmlns:mc="http://schemas.openxmlformats.org/markup-compatibility/2006">
      <mc:Choice xmlns:tsle="http://schemas.microsoft.com/office/drawing/2012/timeslicer" Requires="tsle">
        <xdr:graphicFrame macro="">
          <xdr:nvGraphicFramePr>
            <xdr:cNvPr id="16" name="Date 2">
              <a:extLst>
                <a:ext uri="{FF2B5EF4-FFF2-40B4-BE49-F238E27FC236}">
                  <a16:creationId xmlns:a16="http://schemas.microsoft.com/office/drawing/2014/main" id="{3F9B5427-448E-472C-A01C-5DABD212899D}"/>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268941" y="18684090"/>
              <a:ext cx="27319942" cy="24603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403412</xdr:colOff>
      <xdr:row>3</xdr:row>
      <xdr:rowOff>67236</xdr:rowOff>
    </xdr:from>
    <xdr:to>
      <xdr:col>32</xdr:col>
      <xdr:colOff>89647</xdr:colOff>
      <xdr:row>9</xdr:row>
      <xdr:rowOff>89647</xdr:rowOff>
    </xdr:to>
    <xdr:sp macro="" textlink="">
      <xdr:nvSpPr>
        <xdr:cNvPr id="17" name="TextBox 16">
          <a:extLst>
            <a:ext uri="{FF2B5EF4-FFF2-40B4-BE49-F238E27FC236}">
              <a16:creationId xmlns:a16="http://schemas.microsoft.com/office/drawing/2014/main" id="{4D47D4E2-B170-98B5-9F6E-E3901E000DD7}"/>
            </a:ext>
          </a:extLst>
        </xdr:cNvPr>
        <xdr:cNvSpPr txBox="1"/>
      </xdr:nvSpPr>
      <xdr:spPr>
        <a:xfrm>
          <a:off x="6454588" y="605118"/>
          <a:ext cx="12998824" cy="1098176"/>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a:t>FINANCIAL SALSE ANALYSIS</a:t>
          </a:r>
        </a:p>
      </xdr:txBody>
    </xdr:sp>
    <xdr:clientData/>
  </xdr:twoCellAnchor>
  <xdr:twoCellAnchor editAs="oneCell">
    <xdr:from>
      <xdr:col>7</xdr:col>
      <xdr:colOff>248092</xdr:colOff>
      <xdr:row>1</xdr:row>
      <xdr:rowOff>141768</xdr:rowOff>
    </xdr:from>
    <xdr:to>
      <xdr:col>9</xdr:col>
      <xdr:colOff>496185</xdr:colOff>
      <xdr:row>10</xdr:row>
      <xdr:rowOff>9710</xdr:rowOff>
    </xdr:to>
    <xdr:pic>
      <xdr:nvPicPr>
        <xdr:cNvPr id="25" name="Picture 24">
          <a:extLst>
            <a:ext uri="{FF2B5EF4-FFF2-40B4-BE49-F238E27FC236}">
              <a16:creationId xmlns:a16="http://schemas.microsoft.com/office/drawing/2014/main" id="{F8E241FA-65D0-E45C-A50D-C1341CA8C29D}"/>
            </a:ext>
          </a:extLst>
        </xdr:cNvPr>
        <xdr:cNvPicPr>
          <a:picLocks noChangeAspect="1"/>
        </xdr:cNvPicPr>
      </xdr:nvPicPr>
      <xdr:blipFill>
        <a:blip xmlns:r="http://schemas.openxmlformats.org/officeDocument/2006/relationships" r:embed="rId9">
          <a:alphaModFix/>
          <a:duotone>
            <a:srgbClr val="4472C4">
              <a:shade val="45000"/>
              <a:satMod val="135000"/>
            </a:srgbClr>
            <a:prstClr val="white"/>
          </a:duotone>
          <a:extLst>
            <a:ext uri="{BEBA8EAE-BF5A-486C-A8C5-ECC9F3942E4B}">
              <a14:imgProps xmlns:a14="http://schemas.microsoft.com/office/drawing/2010/main">
                <a14:imgLayer r:embed="rId10">
                  <a14:imgEffect>
                    <a14:backgroundRemoval t="10000" b="90000" l="10000" r="90000">
                      <a14:foregroundMark x1="32962" y1="37611" x2="32962" y2="37611"/>
                      <a14:foregroundMark x1="77951" y1="48451" x2="77951" y2="48451"/>
                      <a14:foregroundMark x1="79287" y1="66593" x2="79287" y2="66593"/>
                      <a14:foregroundMark x1="80401" y1="86062" x2="80401" y2="86062"/>
                      <a14:foregroundMark x1="47661" y1="70354" x2="47661" y2="70354"/>
                      <a14:foregroundMark x1="53675" y1="86062" x2="53675" y2="86062"/>
                      <a14:foregroundMark x1="17149" y1="84735" x2="17149" y2="84735"/>
                      <a14:backgroundMark x1="17149" y1="21903" x2="17149" y2="21903"/>
                    </a14:backgroundRemoval>
                  </a14:imgEffect>
                  <a14:imgEffect>
                    <a14:colorTemperature colorTemp="8800"/>
                  </a14:imgEffect>
                  <a14:imgEffect>
                    <a14:saturation sat="1000"/>
                  </a14:imgEffect>
                  <a14:imgEffect>
                    <a14:brightnessContrast bright="4000" contrast="22000"/>
                  </a14:imgEffect>
                </a14:imgLayer>
              </a14:imgProps>
            </a:ext>
          </a:extLst>
        </a:blip>
        <a:stretch>
          <a:fillRect/>
        </a:stretch>
      </xdr:blipFill>
      <xdr:spPr>
        <a:xfrm>
          <a:off x="4465673" y="318977"/>
          <a:ext cx="1453117" cy="1462826"/>
        </a:xfrm>
        <a:prstGeom prst="rect">
          <a:avLst/>
        </a:prstGeom>
        <a:ln>
          <a:noFill/>
        </a:ln>
        <a:effectLst>
          <a:outerShdw blurRad="190500" algn="tl" rotWithShape="0">
            <a:srgbClr val="000000">
              <a:alpha val="70000"/>
            </a:srgbClr>
          </a:outerShdw>
        </a:effectLst>
      </xdr:spPr>
    </xdr:pic>
    <xdr:clientData/>
  </xdr:twoCellAnchor>
  <xdr:twoCellAnchor>
    <xdr:from>
      <xdr:col>3</xdr:col>
      <xdr:colOff>448235</xdr:colOff>
      <xdr:row>34</xdr:row>
      <xdr:rowOff>59765</xdr:rowOff>
    </xdr:from>
    <xdr:to>
      <xdr:col>10</xdr:col>
      <xdr:colOff>179294</xdr:colOff>
      <xdr:row>38</xdr:row>
      <xdr:rowOff>89647</xdr:rowOff>
    </xdr:to>
    <xdr:sp macro="" textlink="">
      <xdr:nvSpPr>
        <xdr:cNvPr id="26" name="Rectangle: Rounded Corners 25">
          <a:hlinkClick xmlns:r="http://schemas.openxmlformats.org/officeDocument/2006/relationships" r:id="rId11"/>
          <a:extLst>
            <a:ext uri="{FF2B5EF4-FFF2-40B4-BE49-F238E27FC236}">
              <a16:creationId xmlns:a16="http://schemas.microsoft.com/office/drawing/2014/main" id="{60BB32C0-47F1-8FF6-6938-2250AB59F043}"/>
            </a:ext>
          </a:extLst>
        </xdr:cNvPr>
        <xdr:cNvSpPr/>
      </xdr:nvSpPr>
      <xdr:spPr>
        <a:xfrm>
          <a:off x="2286000" y="6155765"/>
          <a:ext cx="4019176" cy="74705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a:noFill/>
              </a:ln>
              <a:solidFill>
                <a:schemeClr val="tx1"/>
              </a:solidFill>
              <a:effectLst/>
            </a:rPr>
            <a:t>PRODUCT</a:t>
          </a:r>
          <a:r>
            <a:rPr lang="en-IN" sz="1600" b="0" cap="none" spc="0" baseline="0">
              <a:ln>
                <a:noFill/>
              </a:ln>
              <a:solidFill>
                <a:schemeClr val="tx1"/>
              </a:solidFill>
              <a:effectLst/>
            </a:rPr>
            <a:t> AND COUNTRYWISE SALSE PRICE</a:t>
          </a:r>
          <a:endParaRPr lang="en-IN" sz="1600" b="0" cap="none" spc="0">
            <a:ln>
              <a:noFill/>
            </a:ln>
            <a:solidFill>
              <a:schemeClr val="tx1"/>
            </a:solidFill>
            <a:effectLst/>
          </a:endParaRPr>
        </a:p>
      </xdr:txBody>
    </xdr:sp>
    <xdr:clientData/>
  </xdr:twoCellAnchor>
  <xdr:twoCellAnchor>
    <xdr:from>
      <xdr:col>18</xdr:col>
      <xdr:colOff>555812</xdr:colOff>
      <xdr:row>34</xdr:row>
      <xdr:rowOff>47812</xdr:rowOff>
    </xdr:from>
    <xdr:to>
      <xdr:col>25</xdr:col>
      <xdr:colOff>286870</xdr:colOff>
      <xdr:row>38</xdr:row>
      <xdr:rowOff>77694</xdr:rowOff>
    </xdr:to>
    <xdr:sp macro="" textlink="">
      <xdr:nvSpPr>
        <xdr:cNvPr id="28" name="Rectangle: Rounded Corners 27">
          <a:hlinkClick xmlns:r="http://schemas.openxmlformats.org/officeDocument/2006/relationships" r:id="rId12"/>
          <a:extLst>
            <a:ext uri="{FF2B5EF4-FFF2-40B4-BE49-F238E27FC236}">
              <a16:creationId xmlns:a16="http://schemas.microsoft.com/office/drawing/2014/main" id="{C55D17C1-1770-46AD-9232-000C320A7802}"/>
            </a:ext>
          </a:extLst>
        </xdr:cNvPr>
        <xdr:cNvSpPr/>
      </xdr:nvSpPr>
      <xdr:spPr>
        <a:xfrm>
          <a:off x="11582400" y="6143812"/>
          <a:ext cx="4019176" cy="74705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Countrywise Units Sold</a:t>
          </a:r>
          <a:endParaRPr lang="en-IN" sz="3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33</xdr:col>
      <xdr:colOff>379506</xdr:colOff>
      <xdr:row>35</xdr:row>
      <xdr:rowOff>125506</xdr:rowOff>
    </xdr:from>
    <xdr:to>
      <xdr:col>40</xdr:col>
      <xdr:colOff>513976</xdr:colOff>
      <xdr:row>39</xdr:row>
      <xdr:rowOff>155387</xdr:rowOff>
    </xdr:to>
    <xdr:sp macro="" textlink="">
      <xdr:nvSpPr>
        <xdr:cNvPr id="29" name="Rectangle: Rounded Corners 28">
          <a:hlinkClick xmlns:r="http://schemas.openxmlformats.org/officeDocument/2006/relationships" r:id="rId13"/>
          <a:extLst>
            <a:ext uri="{FF2B5EF4-FFF2-40B4-BE49-F238E27FC236}">
              <a16:creationId xmlns:a16="http://schemas.microsoft.com/office/drawing/2014/main" id="{41D3C95D-4EC4-4E25-8C27-44C350BED891}"/>
            </a:ext>
          </a:extLst>
        </xdr:cNvPr>
        <xdr:cNvSpPr/>
      </xdr:nvSpPr>
      <xdr:spPr>
        <a:xfrm>
          <a:off x="20594918" y="6400800"/>
          <a:ext cx="4019176" cy="74705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CountryWise Salce Price</a:t>
          </a:r>
          <a:endParaRPr lang="en-IN" sz="3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33</xdr:col>
      <xdr:colOff>412376</xdr:colOff>
      <xdr:row>57</xdr:row>
      <xdr:rowOff>158376</xdr:rowOff>
    </xdr:from>
    <xdr:to>
      <xdr:col>40</xdr:col>
      <xdr:colOff>546846</xdr:colOff>
      <xdr:row>62</xdr:row>
      <xdr:rowOff>8964</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3B7738D5-A531-428C-9D28-6BE163870F2F}"/>
            </a:ext>
          </a:extLst>
        </xdr:cNvPr>
        <xdr:cNvSpPr/>
      </xdr:nvSpPr>
      <xdr:spPr>
        <a:xfrm>
          <a:off x="20627788" y="10378141"/>
          <a:ext cx="4019176" cy="74705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a:noFill/>
              </a:ln>
              <a:solidFill>
                <a:schemeClr val="tx1"/>
              </a:solidFill>
              <a:effectLst/>
            </a:rPr>
            <a:t>PRODUCT</a:t>
          </a:r>
          <a:r>
            <a:rPr lang="en-IN" sz="1600" b="0" cap="none" spc="0" baseline="0">
              <a:ln>
                <a:noFill/>
              </a:ln>
              <a:solidFill>
                <a:schemeClr val="tx1"/>
              </a:solidFill>
              <a:effectLst/>
            </a:rPr>
            <a:t> AND COUNTRYWISE SALSE PRICE</a:t>
          </a:r>
          <a:endParaRPr lang="en-IN" sz="1600" b="0" cap="none" spc="0">
            <a:ln>
              <a:noFill/>
            </a:ln>
            <a:solidFill>
              <a:schemeClr val="tx1"/>
            </a:solidFill>
            <a:effectLst/>
          </a:endParaRPr>
        </a:p>
      </xdr:txBody>
    </xdr:sp>
    <xdr:clientData/>
  </xdr:twoCellAnchor>
  <xdr:twoCellAnchor>
    <xdr:from>
      <xdr:col>18</xdr:col>
      <xdr:colOff>370541</xdr:colOff>
      <xdr:row>57</xdr:row>
      <xdr:rowOff>146423</xdr:rowOff>
    </xdr:from>
    <xdr:to>
      <xdr:col>25</xdr:col>
      <xdr:colOff>101599</xdr:colOff>
      <xdr:row>61</xdr:row>
      <xdr:rowOff>176305</xdr:rowOff>
    </xdr:to>
    <xdr:sp macro="" textlink="">
      <xdr:nvSpPr>
        <xdr:cNvPr id="31" name="Rectangle: Rounded Corners 30">
          <a:hlinkClick xmlns:r="http://schemas.openxmlformats.org/officeDocument/2006/relationships" r:id="rId11"/>
          <a:extLst>
            <a:ext uri="{FF2B5EF4-FFF2-40B4-BE49-F238E27FC236}">
              <a16:creationId xmlns:a16="http://schemas.microsoft.com/office/drawing/2014/main" id="{7423DD30-E491-4C66-85B8-675DDF90377D}"/>
            </a:ext>
          </a:extLst>
        </xdr:cNvPr>
        <xdr:cNvSpPr/>
      </xdr:nvSpPr>
      <xdr:spPr>
        <a:xfrm>
          <a:off x="11397129" y="10366188"/>
          <a:ext cx="4019176" cy="74705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a:noFill/>
              </a:ln>
              <a:solidFill>
                <a:schemeClr val="tx1"/>
              </a:solidFill>
              <a:effectLst/>
            </a:rPr>
            <a:t>PRODUCT</a:t>
          </a:r>
          <a:r>
            <a:rPr lang="en-IN" sz="1600" b="0" cap="none" spc="0" baseline="0">
              <a:ln>
                <a:noFill/>
              </a:ln>
              <a:solidFill>
                <a:schemeClr val="tx1"/>
              </a:solidFill>
              <a:effectLst/>
            </a:rPr>
            <a:t> AND COUNTRYWISE SALSE PRICE</a:t>
          </a:r>
          <a:endParaRPr lang="en-IN" sz="1600" b="0" cap="none" spc="0">
            <a:ln>
              <a:noFill/>
            </a:ln>
            <a:solidFill>
              <a:schemeClr val="tx1"/>
            </a:solidFill>
            <a:effectLst/>
          </a:endParaRPr>
        </a:p>
      </xdr:txBody>
    </xdr:sp>
    <xdr:clientData/>
  </xdr:twoCellAnchor>
  <xdr:twoCellAnchor>
    <xdr:from>
      <xdr:col>3</xdr:col>
      <xdr:colOff>268941</xdr:colOff>
      <xdr:row>57</xdr:row>
      <xdr:rowOff>0</xdr:rowOff>
    </xdr:from>
    <xdr:to>
      <xdr:col>10</xdr:col>
      <xdr:colOff>0</xdr:colOff>
      <xdr:row>61</xdr:row>
      <xdr:rowOff>29882</xdr:rowOff>
    </xdr:to>
    <xdr:sp macro="" textlink="">
      <xdr:nvSpPr>
        <xdr:cNvPr id="32" name="Rectangle: Rounded Corners 31">
          <a:hlinkClick xmlns:r="http://schemas.openxmlformats.org/officeDocument/2006/relationships" r:id="rId13"/>
          <a:extLst>
            <a:ext uri="{FF2B5EF4-FFF2-40B4-BE49-F238E27FC236}">
              <a16:creationId xmlns:a16="http://schemas.microsoft.com/office/drawing/2014/main" id="{507A8A5C-0606-4D4C-BB29-7A06287CF4E6}"/>
            </a:ext>
          </a:extLst>
        </xdr:cNvPr>
        <xdr:cNvSpPr/>
      </xdr:nvSpPr>
      <xdr:spPr>
        <a:xfrm>
          <a:off x="2106706" y="10219765"/>
          <a:ext cx="4019176" cy="74705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DiscountBandwise COGS &amp; Sum Of Discounts</a:t>
          </a:r>
          <a:endParaRPr lang="en-IN"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376518</xdr:colOff>
      <xdr:row>98</xdr:row>
      <xdr:rowOff>77694</xdr:rowOff>
    </xdr:from>
    <xdr:to>
      <xdr:col>15</xdr:col>
      <xdr:colOff>107576</xdr:colOff>
      <xdr:row>102</xdr:row>
      <xdr:rowOff>107576</xdr:rowOff>
    </xdr:to>
    <xdr:sp macro="" textlink="">
      <xdr:nvSpPr>
        <xdr:cNvPr id="33" name="Rectangle: Rounded Corners 32">
          <a:hlinkClick xmlns:r="http://schemas.openxmlformats.org/officeDocument/2006/relationships" r:id="rId11"/>
          <a:extLst>
            <a:ext uri="{FF2B5EF4-FFF2-40B4-BE49-F238E27FC236}">
              <a16:creationId xmlns:a16="http://schemas.microsoft.com/office/drawing/2014/main" id="{D0F51D21-7FAF-4AD0-8E91-D382296CD8EF}"/>
            </a:ext>
          </a:extLst>
        </xdr:cNvPr>
        <xdr:cNvSpPr/>
      </xdr:nvSpPr>
      <xdr:spPr>
        <a:xfrm>
          <a:off x="5277224" y="17648518"/>
          <a:ext cx="4019176" cy="74705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a:noFill/>
              </a:ln>
              <a:solidFill>
                <a:schemeClr val="tx1"/>
              </a:solidFill>
              <a:effectLst/>
            </a:rPr>
            <a:t>PRODUCT</a:t>
          </a:r>
          <a:r>
            <a:rPr lang="en-IN" sz="1600" b="0" cap="none" spc="0" baseline="0">
              <a:ln>
                <a:noFill/>
              </a:ln>
              <a:solidFill>
                <a:schemeClr val="tx1"/>
              </a:solidFill>
              <a:effectLst/>
            </a:rPr>
            <a:t> AND COUNTRYWISE SALSE PRICE</a:t>
          </a:r>
          <a:endParaRPr lang="en-IN" sz="1600" b="0" cap="none" spc="0">
            <a:ln>
              <a:noFill/>
            </a:ln>
            <a:solidFill>
              <a:schemeClr val="tx1"/>
            </a:solidFill>
            <a:effectLst/>
          </a:endParaRPr>
        </a:p>
      </xdr:txBody>
    </xdr:sp>
    <xdr:clientData/>
  </xdr:twoCellAnchor>
  <xdr:twoCellAnchor>
    <xdr:from>
      <xdr:col>34</xdr:col>
      <xdr:colOff>289859</xdr:colOff>
      <xdr:row>98</xdr:row>
      <xdr:rowOff>110565</xdr:rowOff>
    </xdr:from>
    <xdr:to>
      <xdr:col>41</xdr:col>
      <xdr:colOff>424329</xdr:colOff>
      <xdr:row>102</xdr:row>
      <xdr:rowOff>140447</xdr:rowOff>
    </xdr:to>
    <xdr:sp macro="" textlink="">
      <xdr:nvSpPr>
        <xdr:cNvPr id="34" name="Rectangle: Rounded Corners 33">
          <a:hlinkClick xmlns:r="http://schemas.openxmlformats.org/officeDocument/2006/relationships" r:id="rId11"/>
          <a:extLst>
            <a:ext uri="{FF2B5EF4-FFF2-40B4-BE49-F238E27FC236}">
              <a16:creationId xmlns:a16="http://schemas.microsoft.com/office/drawing/2014/main" id="{C4AAC585-2B6C-478F-BAE2-4FC4ACBABF14}"/>
            </a:ext>
          </a:extLst>
        </xdr:cNvPr>
        <xdr:cNvSpPr/>
      </xdr:nvSpPr>
      <xdr:spPr>
        <a:xfrm>
          <a:off x="21117859" y="17681389"/>
          <a:ext cx="4019176" cy="74705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a:noFill/>
              </a:ln>
              <a:solidFill>
                <a:schemeClr val="tx1"/>
              </a:solidFill>
              <a:effectLst/>
            </a:rPr>
            <a:t>PRODUCT</a:t>
          </a:r>
          <a:r>
            <a:rPr lang="en-IN" sz="1600" b="0" cap="none" spc="0" baseline="0">
              <a:ln>
                <a:noFill/>
              </a:ln>
              <a:solidFill>
                <a:schemeClr val="tx1"/>
              </a:solidFill>
              <a:effectLst/>
            </a:rPr>
            <a:t> AND COUNTRYWISE SALSE PRICE</a:t>
          </a:r>
          <a:endParaRPr lang="en-IN" sz="1600" b="0" cap="none" spc="0">
            <a:ln>
              <a:noFill/>
            </a:ln>
            <a:solidFill>
              <a:schemeClr val="tx1"/>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2.84533877315" createdVersion="6" refreshedVersion="6" minRefreshableVersion="3" recordCount="700" xr:uid="{00000000-000A-0000-FFFF-FFFF00000000}">
  <cacheSource type="worksheet">
    <worksheetSource ref="A1:K701" sheet="data"/>
  </cacheSource>
  <cacheFields count="14">
    <cacheField name="Segment" numFmtId="49">
      <sharedItems count="5">
        <s v="Small Business"/>
        <s v="Government"/>
        <s v="Enterprise"/>
        <s v="Channel Partners"/>
        <s v="Midmarket"/>
      </sharedItems>
    </cacheField>
    <cacheField name="Country" numFmtId="49">
      <sharedItems count="5">
        <s v="France"/>
        <s v="Germany"/>
        <s v="United States of America"/>
        <s v="Mexico"/>
        <s v="Canada"/>
      </sharedItems>
    </cacheField>
    <cacheField name="Product" numFmtId="49">
      <sharedItems count="6">
        <s v="Amarilla"/>
        <s v="Velo"/>
        <s v="Paseo"/>
        <s v="VTT"/>
        <s v="Carretera"/>
        <s v="Montana"/>
      </sharedItems>
    </cacheField>
    <cacheField name="Discount Band" numFmtId="49">
      <sharedItems count="4">
        <s v="High"/>
        <s v="Medium"/>
        <s v="Low"/>
        <s v="None"/>
      </sharedItems>
    </cacheField>
    <cacheField name="Units Sold" numFmtId="1">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COGS" numFmtId="164">
      <sharedItems containsSemiMixedTypes="0" containsString="0" containsNumber="1" minValue="918" maxValue="950625"/>
    </cacheField>
    <cacheField name="Date" numFmtId="14">
      <sharedItems containsSemiMixedTypes="0" containsNonDate="0" containsDate="1" containsString="0" minDate="2013-09-01T00:00:00" maxDate="2014-12-02T00:00:00" count="16">
        <d v="2014-03-01T00:00:00"/>
        <d v="2013-10-01T00:00:00"/>
        <d v="2014-01-01T00:00:00"/>
        <d v="2014-10-01T00:00:00"/>
        <d v="2014-12-01T00:00:00"/>
        <d v="2014-09-01T00:00:00"/>
        <d v="2014-02-01T00:00:00"/>
        <d v="2013-11-01T00:00:00"/>
        <d v="2014-07-01T00:00:00"/>
        <d v="2014-08-01T00:00:00"/>
        <d v="2014-06-01T00:00:00"/>
        <d v="2013-12-01T00:00:00"/>
        <d v="2014-05-01T00:00:00"/>
        <d v="2013-09-01T00:00:00"/>
        <d v="2014-11-01T00:00:00"/>
        <d v="2014-04-01T00:00:00"/>
      </sharedItems>
      <fieldGroup par="13"/>
    </cacheField>
    <cacheField name="Months (Date)" numFmtId="0" databaseField="0">
      <fieldGroup base="10">
        <rangePr groupBy="months" startDate="2013-09-01T00:00:00" endDate="2014-12-02T00:00:00"/>
        <groupItems count="14">
          <s v="&lt;01-09-2013"/>
          <s v="Jan"/>
          <s v="Feb"/>
          <s v="Mar"/>
          <s v="Apr"/>
          <s v="May"/>
          <s v="Jun"/>
          <s v="Jul"/>
          <s v="Aug"/>
          <s v="Sep"/>
          <s v="Oct"/>
          <s v="Nov"/>
          <s v="Dec"/>
          <s v="&gt;02-12-2014"/>
        </groupItems>
      </fieldGroup>
    </cacheField>
    <cacheField name="Quarters (Date)" numFmtId="0" databaseField="0">
      <fieldGroup base="10">
        <rangePr groupBy="quarters" startDate="2013-09-01T00:00:00" endDate="2014-12-02T00:00:00"/>
        <groupItems count="6">
          <s v="&lt;01-09-2013"/>
          <s v="Qtr1"/>
          <s v="Qtr2"/>
          <s v="Qtr3"/>
          <s v="Qtr4"/>
          <s v="&gt;02-12-2014"/>
        </groupItems>
      </fieldGroup>
    </cacheField>
    <cacheField name="Years (Date)" numFmtId="0" databaseField="0">
      <fieldGroup base="10">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0">
  <r>
    <x v="0"/>
    <x v="0"/>
    <x v="0"/>
    <x v="0"/>
    <n v="2475"/>
    <n v="260"/>
    <n v="300"/>
    <n v="742500"/>
    <n v="111375"/>
    <n v="618750"/>
    <x v="0"/>
  </r>
  <r>
    <x v="1"/>
    <x v="0"/>
    <x v="0"/>
    <x v="1"/>
    <n v="2076"/>
    <n v="260"/>
    <n v="350"/>
    <n v="726600"/>
    <n v="43596"/>
    <n v="539760"/>
    <x v="1"/>
  </r>
  <r>
    <x v="1"/>
    <x v="0"/>
    <x v="1"/>
    <x v="1"/>
    <n v="2076"/>
    <n v="120"/>
    <n v="350"/>
    <n v="726600"/>
    <n v="43596"/>
    <n v="539760"/>
    <x v="1"/>
  </r>
  <r>
    <x v="0"/>
    <x v="0"/>
    <x v="2"/>
    <x v="2"/>
    <n v="2434.5"/>
    <n v="10"/>
    <n v="300"/>
    <n v="730350"/>
    <n v="21910.5"/>
    <n v="608625"/>
    <x v="2"/>
  </r>
  <r>
    <x v="1"/>
    <x v="0"/>
    <x v="1"/>
    <x v="2"/>
    <n v="2177"/>
    <n v="120"/>
    <n v="350"/>
    <n v="761950"/>
    <n v="30478"/>
    <n v="566020"/>
    <x v="3"/>
  </r>
  <r>
    <x v="1"/>
    <x v="0"/>
    <x v="3"/>
    <x v="2"/>
    <n v="2177"/>
    <n v="250"/>
    <n v="350"/>
    <n v="761950"/>
    <n v="30478"/>
    <n v="566020"/>
    <x v="3"/>
  </r>
  <r>
    <x v="1"/>
    <x v="0"/>
    <x v="4"/>
    <x v="2"/>
    <n v="2155"/>
    <n v="3"/>
    <n v="350"/>
    <n v="754250"/>
    <n v="7542.5"/>
    <n v="560300"/>
    <x v="4"/>
  </r>
  <r>
    <x v="1"/>
    <x v="0"/>
    <x v="2"/>
    <x v="2"/>
    <n v="2155"/>
    <n v="10"/>
    <n v="350"/>
    <n v="754250"/>
    <n v="7542.5"/>
    <n v="560300"/>
    <x v="4"/>
  </r>
  <r>
    <x v="1"/>
    <x v="0"/>
    <x v="0"/>
    <x v="1"/>
    <n v="2876"/>
    <n v="260"/>
    <n v="350"/>
    <n v="1006600"/>
    <n v="70462"/>
    <n v="747760"/>
    <x v="5"/>
  </r>
  <r>
    <x v="1"/>
    <x v="0"/>
    <x v="0"/>
    <x v="3"/>
    <n v="2750"/>
    <n v="260"/>
    <n v="350"/>
    <n v="962500"/>
    <n v="0"/>
    <n v="715000"/>
    <x v="6"/>
  </r>
  <r>
    <x v="0"/>
    <x v="1"/>
    <x v="1"/>
    <x v="0"/>
    <n v="2536"/>
    <n v="120"/>
    <n v="300"/>
    <n v="760800"/>
    <n v="106512"/>
    <n v="634000"/>
    <x v="7"/>
  </r>
  <r>
    <x v="1"/>
    <x v="1"/>
    <x v="2"/>
    <x v="1"/>
    <n v="2146"/>
    <n v="10"/>
    <n v="350"/>
    <n v="751100"/>
    <n v="60088"/>
    <n v="557960"/>
    <x v="7"/>
  </r>
  <r>
    <x v="0"/>
    <x v="1"/>
    <x v="3"/>
    <x v="1"/>
    <n v="2659"/>
    <n v="250"/>
    <n v="300"/>
    <n v="797700"/>
    <n v="71793"/>
    <n v="664750"/>
    <x v="6"/>
  </r>
  <r>
    <x v="0"/>
    <x v="1"/>
    <x v="4"/>
    <x v="0"/>
    <n v="2811"/>
    <n v="3"/>
    <n v="300"/>
    <n v="843300"/>
    <n v="92763"/>
    <n v="702750"/>
    <x v="8"/>
  </r>
  <r>
    <x v="1"/>
    <x v="1"/>
    <x v="1"/>
    <x v="2"/>
    <n v="2877"/>
    <n v="120"/>
    <n v="350"/>
    <n v="1006950"/>
    <n v="20139"/>
    <n v="748020"/>
    <x v="3"/>
  </r>
  <r>
    <x v="1"/>
    <x v="1"/>
    <x v="3"/>
    <x v="2"/>
    <n v="2877"/>
    <n v="250"/>
    <n v="350"/>
    <n v="1006950"/>
    <n v="20139"/>
    <n v="748020"/>
    <x v="3"/>
  </r>
  <r>
    <x v="1"/>
    <x v="1"/>
    <x v="0"/>
    <x v="2"/>
    <n v="2966"/>
    <n v="260"/>
    <n v="350"/>
    <n v="1038100"/>
    <n v="20762"/>
    <n v="771160"/>
    <x v="1"/>
  </r>
  <r>
    <x v="1"/>
    <x v="1"/>
    <x v="1"/>
    <x v="2"/>
    <n v="2966"/>
    <n v="120"/>
    <n v="350"/>
    <n v="1038100"/>
    <n v="20762"/>
    <n v="771160"/>
    <x v="1"/>
  </r>
  <r>
    <x v="1"/>
    <x v="2"/>
    <x v="2"/>
    <x v="0"/>
    <n v="2007"/>
    <n v="10"/>
    <n v="350"/>
    <n v="702450"/>
    <n v="105367.5"/>
    <n v="521820"/>
    <x v="7"/>
  </r>
  <r>
    <x v="0"/>
    <x v="2"/>
    <x v="1"/>
    <x v="0"/>
    <n v="2460"/>
    <n v="120"/>
    <n v="300"/>
    <n v="738000"/>
    <n v="103320"/>
    <n v="615000"/>
    <x v="8"/>
  </r>
  <r>
    <x v="1"/>
    <x v="3"/>
    <x v="2"/>
    <x v="0"/>
    <n v="2151"/>
    <n v="10"/>
    <n v="350"/>
    <n v="752850"/>
    <n v="112927.5"/>
    <n v="559260"/>
    <x v="7"/>
  </r>
  <r>
    <x v="1"/>
    <x v="4"/>
    <x v="2"/>
    <x v="0"/>
    <n v="2104.5"/>
    <n v="10"/>
    <n v="350"/>
    <n v="736575"/>
    <n v="81023.25"/>
    <n v="547170"/>
    <x v="8"/>
  </r>
  <r>
    <x v="0"/>
    <x v="2"/>
    <x v="3"/>
    <x v="0"/>
    <n v="2541"/>
    <n v="250"/>
    <n v="300"/>
    <n v="762300"/>
    <n v="106722"/>
    <n v="635250"/>
    <x v="9"/>
  </r>
  <r>
    <x v="0"/>
    <x v="2"/>
    <x v="1"/>
    <x v="0"/>
    <n v="2574"/>
    <n v="120"/>
    <n v="300"/>
    <n v="772200"/>
    <n v="115830"/>
    <n v="643500"/>
    <x v="7"/>
  </r>
  <r>
    <x v="1"/>
    <x v="2"/>
    <x v="0"/>
    <x v="1"/>
    <n v="2071"/>
    <n v="260"/>
    <n v="350"/>
    <n v="724850"/>
    <n v="65236.5"/>
    <n v="538460"/>
    <x v="5"/>
  </r>
  <r>
    <x v="1"/>
    <x v="4"/>
    <x v="5"/>
    <x v="0"/>
    <n v="2227.5"/>
    <n v="5"/>
    <n v="350"/>
    <n v="779625"/>
    <n v="109147.5"/>
    <n v="579150"/>
    <x v="2"/>
  </r>
  <r>
    <x v="0"/>
    <x v="3"/>
    <x v="0"/>
    <x v="1"/>
    <n v="2460"/>
    <n v="260"/>
    <n v="300"/>
    <n v="738000"/>
    <n v="59040"/>
    <n v="615000"/>
    <x v="10"/>
  </r>
  <r>
    <x v="0"/>
    <x v="3"/>
    <x v="2"/>
    <x v="1"/>
    <n v="2460"/>
    <n v="10"/>
    <n v="300"/>
    <n v="738000"/>
    <n v="59040"/>
    <n v="615000"/>
    <x v="10"/>
  </r>
  <r>
    <x v="0"/>
    <x v="3"/>
    <x v="1"/>
    <x v="0"/>
    <n v="2605"/>
    <n v="120"/>
    <n v="300"/>
    <n v="781500"/>
    <n v="101595"/>
    <n v="651250"/>
    <x v="7"/>
  </r>
  <r>
    <x v="0"/>
    <x v="4"/>
    <x v="3"/>
    <x v="1"/>
    <n v="2436"/>
    <n v="250"/>
    <n v="300"/>
    <n v="730800"/>
    <n v="43848"/>
    <n v="609000"/>
    <x v="11"/>
  </r>
  <r>
    <x v="0"/>
    <x v="3"/>
    <x v="2"/>
    <x v="1"/>
    <n v="2565"/>
    <n v="10"/>
    <n v="300"/>
    <n v="769500"/>
    <n v="69255"/>
    <n v="641250"/>
    <x v="2"/>
  </r>
  <r>
    <x v="1"/>
    <x v="4"/>
    <x v="0"/>
    <x v="0"/>
    <n v="2240"/>
    <n v="260"/>
    <n v="350"/>
    <n v="784000"/>
    <n v="78400"/>
    <n v="582400"/>
    <x v="6"/>
  </r>
  <r>
    <x v="1"/>
    <x v="2"/>
    <x v="5"/>
    <x v="0"/>
    <n v="2313"/>
    <n v="5"/>
    <n v="350"/>
    <n v="809550"/>
    <n v="80955"/>
    <n v="601380"/>
    <x v="12"/>
  </r>
  <r>
    <x v="0"/>
    <x v="2"/>
    <x v="5"/>
    <x v="2"/>
    <n v="2498"/>
    <n v="5"/>
    <n v="300"/>
    <n v="749400"/>
    <n v="7494"/>
    <n v="624500"/>
    <x v="13"/>
  </r>
  <r>
    <x v="0"/>
    <x v="3"/>
    <x v="3"/>
    <x v="1"/>
    <n v="2747"/>
    <n v="250"/>
    <n v="300"/>
    <n v="824100"/>
    <n v="57687"/>
    <n v="686750"/>
    <x v="6"/>
  </r>
  <r>
    <x v="1"/>
    <x v="3"/>
    <x v="2"/>
    <x v="1"/>
    <n v="2417"/>
    <n v="10"/>
    <n v="350"/>
    <n v="845950"/>
    <n v="76135.5"/>
    <n v="628420"/>
    <x v="2"/>
  </r>
  <r>
    <x v="1"/>
    <x v="4"/>
    <x v="2"/>
    <x v="0"/>
    <n v="2632"/>
    <n v="10"/>
    <n v="350"/>
    <n v="921200"/>
    <n v="119756"/>
    <n v="684320"/>
    <x v="10"/>
  </r>
  <r>
    <x v="1"/>
    <x v="4"/>
    <x v="1"/>
    <x v="0"/>
    <n v="2632"/>
    <n v="120"/>
    <n v="350"/>
    <n v="921200"/>
    <n v="119756"/>
    <n v="684320"/>
    <x v="10"/>
  </r>
  <r>
    <x v="0"/>
    <x v="2"/>
    <x v="0"/>
    <x v="0"/>
    <n v="2993"/>
    <n v="260"/>
    <n v="300"/>
    <n v="897900"/>
    <n v="89790"/>
    <n v="748250"/>
    <x v="0"/>
  </r>
  <r>
    <x v="0"/>
    <x v="2"/>
    <x v="3"/>
    <x v="2"/>
    <n v="2844"/>
    <n v="250"/>
    <n v="300"/>
    <n v="853200"/>
    <n v="25596"/>
    <n v="711000"/>
    <x v="6"/>
  </r>
  <r>
    <x v="0"/>
    <x v="2"/>
    <x v="2"/>
    <x v="2"/>
    <n v="2918"/>
    <n v="10"/>
    <n v="300"/>
    <n v="875400"/>
    <n v="35016"/>
    <n v="729500"/>
    <x v="12"/>
  </r>
  <r>
    <x v="1"/>
    <x v="3"/>
    <x v="2"/>
    <x v="0"/>
    <n v="2851"/>
    <n v="10"/>
    <n v="350"/>
    <n v="997850"/>
    <n v="149677.5"/>
    <n v="741260"/>
    <x v="12"/>
  </r>
  <r>
    <x v="0"/>
    <x v="2"/>
    <x v="2"/>
    <x v="2"/>
    <n v="2905"/>
    <n v="10"/>
    <n v="300"/>
    <n v="871500"/>
    <n v="8715"/>
    <n v="726250"/>
    <x v="14"/>
  </r>
  <r>
    <x v="1"/>
    <x v="2"/>
    <x v="3"/>
    <x v="0"/>
    <n v="2807"/>
    <n v="250"/>
    <n v="350"/>
    <n v="982450"/>
    <n v="98245"/>
    <n v="729820"/>
    <x v="9"/>
  </r>
  <r>
    <x v="0"/>
    <x v="2"/>
    <x v="2"/>
    <x v="0"/>
    <n v="3495"/>
    <n v="10"/>
    <n v="300"/>
    <n v="1048500"/>
    <n v="125820"/>
    <n v="873750"/>
    <x v="2"/>
  </r>
  <r>
    <x v="1"/>
    <x v="4"/>
    <x v="4"/>
    <x v="2"/>
    <n v="2852"/>
    <n v="3"/>
    <n v="350"/>
    <n v="998200"/>
    <n v="19964"/>
    <n v="741520"/>
    <x v="4"/>
  </r>
  <r>
    <x v="1"/>
    <x v="4"/>
    <x v="2"/>
    <x v="2"/>
    <n v="2852"/>
    <n v="10"/>
    <n v="350"/>
    <n v="998200"/>
    <n v="19964"/>
    <n v="741520"/>
    <x v="4"/>
  </r>
  <r>
    <x v="0"/>
    <x v="4"/>
    <x v="1"/>
    <x v="1"/>
    <n v="3793.5"/>
    <n v="120"/>
    <n v="300"/>
    <n v="1138050"/>
    <n v="102424.5"/>
    <n v="948375"/>
    <x v="8"/>
  </r>
  <r>
    <x v="0"/>
    <x v="4"/>
    <x v="5"/>
    <x v="1"/>
    <n v="3802.5"/>
    <n v="5"/>
    <n v="300"/>
    <n v="1140750"/>
    <n v="102667.5"/>
    <n v="950625"/>
    <x v="15"/>
  </r>
  <r>
    <x v="1"/>
    <x v="2"/>
    <x v="2"/>
    <x v="2"/>
    <n v="3450"/>
    <n v="10"/>
    <n v="350"/>
    <n v="1207500"/>
    <n v="48300"/>
    <n v="897000"/>
    <x v="8"/>
  </r>
  <r>
    <x v="1"/>
    <x v="0"/>
    <x v="4"/>
    <x v="0"/>
    <n v="1790"/>
    <n v="3"/>
    <n v="350"/>
    <n v="626500"/>
    <n v="81445"/>
    <n v="465400"/>
    <x v="0"/>
  </r>
  <r>
    <x v="1"/>
    <x v="0"/>
    <x v="2"/>
    <x v="0"/>
    <n v="1922"/>
    <n v="10"/>
    <n v="350"/>
    <n v="672700"/>
    <n v="94178"/>
    <n v="499720"/>
    <x v="7"/>
  </r>
  <r>
    <x v="0"/>
    <x v="0"/>
    <x v="4"/>
    <x v="1"/>
    <n v="2181"/>
    <n v="3"/>
    <n v="300"/>
    <n v="654300"/>
    <n v="45801"/>
    <n v="545250"/>
    <x v="3"/>
  </r>
  <r>
    <x v="0"/>
    <x v="0"/>
    <x v="5"/>
    <x v="1"/>
    <n v="2181"/>
    <n v="5"/>
    <n v="300"/>
    <n v="654300"/>
    <n v="45801"/>
    <n v="545250"/>
    <x v="3"/>
  </r>
  <r>
    <x v="0"/>
    <x v="0"/>
    <x v="3"/>
    <x v="3"/>
    <n v="2151"/>
    <n v="250"/>
    <n v="300"/>
    <n v="645300"/>
    <n v="0"/>
    <n v="537750"/>
    <x v="5"/>
  </r>
  <r>
    <x v="0"/>
    <x v="1"/>
    <x v="4"/>
    <x v="2"/>
    <n v="2021"/>
    <n v="3"/>
    <n v="300"/>
    <n v="606300"/>
    <n v="24252"/>
    <n v="505250"/>
    <x v="3"/>
  </r>
  <r>
    <x v="0"/>
    <x v="1"/>
    <x v="5"/>
    <x v="2"/>
    <n v="2021"/>
    <n v="5"/>
    <n v="300"/>
    <n v="606300"/>
    <n v="24252"/>
    <n v="505250"/>
    <x v="3"/>
  </r>
  <r>
    <x v="1"/>
    <x v="1"/>
    <x v="3"/>
    <x v="0"/>
    <n v="1870"/>
    <n v="250"/>
    <n v="350"/>
    <n v="654500"/>
    <n v="65450"/>
    <n v="486200"/>
    <x v="11"/>
  </r>
  <r>
    <x v="1"/>
    <x v="1"/>
    <x v="5"/>
    <x v="2"/>
    <n v="1797"/>
    <n v="5"/>
    <n v="350"/>
    <n v="628950"/>
    <n v="18868.5"/>
    <n v="467220"/>
    <x v="13"/>
  </r>
  <r>
    <x v="1"/>
    <x v="1"/>
    <x v="0"/>
    <x v="2"/>
    <n v="1907"/>
    <n v="260"/>
    <n v="350"/>
    <n v="667450"/>
    <n v="26698"/>
    <n v="495820"/>
    <x v="5"/>
  </r>
  <r>
    <x v="0"/>
    <x v="3"/>
    <x v="2"/>
    <x v="0"/>
    <n v="2150"/>
    <n v="10"/>
    <n v="300"/>
    <n v="645000"/>
    <n v="77400"/>
    <n v="537500"/>
    <x v="14"/>
  </r>
  <r>
    <x v="1"/>
    <x v="2"/>
    <x v="4"/>
    <x v="1"/>
    <n v="1761"/>
    <n v="3"/>
    <n v="350"/>
    <n v="616350"/>
    <n v="43144.5"/>
    <n v="457860"/>
    <x v="0"/>
  </r>
  <r>
    <x v="0"/>
    <x v="4"/>
    <x v="3"/>
    <x v="1"/>
    <n v="2134"/>
    <n v="250"/>
    <n v="300"/>
    <n v="640200"/>
    <n v="51216"/>
    <n v="533500"/>
    <x v="5"/>
  </r>
  <r>
    <x v="1"/>
    <x v="4"/>
    <x v="0"/>
    <x v="2"/>
    <n v="1778"/>
    <n v="260"/>
    <n v="350"/>
    <n v="622300"/>
    <n v="24892"/>
    <n v="462280"/>
    <x v="11"/>
  </r>
  <r>
    <x v="1"/>
    <x v="4"/>
    <x v="2"/>
    <x v="3"/>
    <n v="1725"/>
    <n v="10"/>
    <n v="350"/>
    <n v="603750"/>
    <n v="0"/>
    <n v="448500"/>
    <x v="7"/>
  </r>
  <r>
    <x v="0"/>
    <x v="2"/>
    <x v="1"/>
    <x v="0"/>
    <n v="2294"/>
    <n v="120"/>
    <n v="300"/>
    <n v="688200"/>
    <n v="68820"/>
    <n v="573500"/>
    <x v="1"/>
  </r>
  <r>
    <x v="0"/>
    <x v="2"/>
    <x v="3"/>
    <x v="0"/>
    <n v="2294"/>
    <n v="250"/>
    <n v="300"/>
    <n v="688200"/>
    <n v="68820"/>
    <n v="573500"/>
    <x v="1"/>
  </r>
  <r>
    <x v="1"/>
    <x v="3"/>
    <x v="0"/>
    <x v="2"/>
    <n v="1865"/>
    <n v="260"/>
    <n v="350"/>
    <n v="652750"/>
    <n v="26110"/>
    <n v="484900"/>
    <x v="6"/>
  </r>
  <r>
    <x v="1"/>
    <x v="3"/>
    <x v="3"/>
    <x v="2"/>
    <n v="1940"/>
    <n v="250"/>
    <n v="350"/>
    <n v="679000"/>
    <n v="13580"/>
    <n v="504400"/>
    <x v="11"/>
  </r>
  <r>
    <x v="0"/>
    <x v="2"/>
    <x v="5"/>
    <x v="2"/>
    <n v="2301"/>
    <n v="5"/>
    <n v="300"/>
    <n v="690300"/>
    <n v="6903"/>
    <n v="575250"/>
    <x v="15"/>
  </r>
  <r>
    <x v="0"/>
    <x v="0"/>
    <x v="5"/>
    <x v="0"/>
    <n v="1773"/>
    <n v="5"/>
    <n v="300"/>
    <n v="531900"/>
    <n v="63828"/>
    <n v="443250"/>
    <x v="15"/>
  </r>
  <r>
    <x v="1"/>
    <x v="0"/>
    <x v="2"/>
    <x v="0"/>
    <n v="1594"/>
    <n v="10"/>
    <n v="350"/>
    <n v="557900"/>
    <n v="66948"/>
    <n v="414440"/>
    <x v="14"/>
  </r>
  <r>
    <x v="1"/>
    <x v="0"/>
    <x v="2"/>
    <x v="1"/>
    <n v="1496"/>
    <n v="10"/>
    <n v="350"/>
    <n v="523600"/>
    <n v="31416"/>
    <n v="388960"/>
    <x v="10"/>
  </r>
  <r>
    <x v="1"/>
    <x v="0"/>
    <x v="1"/>
    <x v="1"/>
    <n v="1496"/>
    <n v="120"/>
    <n v="350"/>
    <n v="523600"/>
    <n v="31416"/>
    <n v="388960"/>
    <x v="10"/>
  </r>
  <r>
    <x v="2"/>
    <x v="0"/>
    <x v="4"/>
    <x v="2"/>
    <n v="4243.5"/>
    <n v="3"/>
    <n v="125"/>
    <n v="530437.5"/>
    <n v="15913.125"/>
    <n v="509220"/>
    <x v="15"/>
  </r>
  <r>
    <x v="1"/>
    <x v="0"/>
    <x v="5"/>
    <x v="1"/>
    <n v="1666"/>
    <n v="5"/>
    <n v="350"/>
    <n v="583100"/>
    <n v="52479"/>
    <n v="433160"/>
    <x v="12"/>
  </r>
  <r>
    <x v="1"/>
    <x v="0"/>
    <x v="3"/>
    <x v="3"/>
    <n v="1527"/>
    <n v="250"/>
    <n v="350"/>
    <n v="534450"/>
    <n v="0"/>
    <n v="397020"/>
    <x v="13"/>
  </r>
  <r>
    <x v="2"/>
    <x v="0"/>
    <x v="4"/>
    <x v="0"/>
    <n v="1482"/>
    <n v="3"/>
    <n v="125"/>
    <n v="185250"/>
    <n v="18525"/>
    <n v="177840"/>
    <x v="11"/>
  </r>
  <r>
    <x v="1"/>
    <x v="0"/>
    <x v="3"/>
    <x v="1"/>
    <n v="574.5"/>
    <n v="250"/>
    <n v="350"/>
    <n v="201075"/>
    <n v="16086"/>
    <n v="149370"/>
    <x v="15"/>
  </r>
  <r>
    <x v="1"/>
    <x v="0"/>
    <x v="1"/>
    <x v="0"/>
    <n v="639"/>
    <n v="120"/>
    <n v="350"/>
    <n v="223650"/>
    <n v="22365"/>
    <n v="166140"/>
    <x v="8"/>
  </r>
  <r>
    <x v="2"/>
    <x v="0"/>
    <x v="5"/>
    <x v="1"/>
    <n v="1857"/>
    <n v="5"/>
    <n v="125"/>
    <n v="232125"/>
    <n v="20891.25"/>
    <n v="222840"/>
    <x v="7"/>
  </r>
  <r>
    <x v="2"/>
    <x v="0"/>
    <x v="3"/>
    <x v="2"/>
    <n v="1744"/>
    <n v="250"/>
    <n v="125"/>
    <n v="218000"/>
    <n v="2180"/>
    <n v="209280"/>
    <x v="14"/>
  </r>
  <r>
    <x v="2"/>
    <x v="0"/>
    <x v="1"/>
    <x v="3"/>
    <n v="1804"/>
    <n v="120"/>
    <n v="125"/>
    <n v="225500"/>
    <n v="0"/>
    <n v="216480"/>
    <x v="6"/>
  </r>
  <r>
    <x v="0"/>
    <x v="0"/>
    <x v="0"/>
    <x v="0"/>
    <n v="853"/>
    <n v="260"/>
    <n v="300"/>
    <n v="255900"/>
    <n v="25590"/>
    <n v="213250"/>
    <x v="4"/>
  </r>
  <r>
    <x v="0"/>
    <x v="0"/>
    <x v="1"/>
    <x v="0"/>
    <n v="853"/>
    <n v="120"/>
    <n v="300"/>
    <n v="255900"/>
    <n v="25590"/>
    <n v="213250"/>
    <x v="4"/>
  </r>
  <r>
    <x v="2"/>
    <x v="0"/>
    <x v="0"/>
    <x v="1"/>
    <n v="1987.5"/>
    <n v="260"/>
    <n v="125"/>
    <n v="248437.5"/>
    <n v="14906.25"/>
    <n v="238500"/>
    <x v="2"/>
  </r>
  <r>
    <x v="0"/>
    <x v="0"/>
    <x v="3"/>
    <x v="1"/>
    <n v="959"/>
    <n v="250"/>
    <n v="300"/>
    <n v="287700"/>
    <n v="20139"/>
    <n v="239750"/>
    <x v="6"/>
  </r>
  <r>
    <x v="0"/>
    <x v="0"/>
    <x v="2"/>
    <x v="2"/>
    <n v="918"/>
    <n v="10"/>
    <n v="300"/>
    <n v="275400"/>
    <n v="5508"/>
    <n v="229500"/>
    <x v="12"/>
  </r>
  <r>
    <x v="2"/>
    <x v="0"/>
    <x v="4"/>
    <x v="0"/>
    <n v="2441"/>
    <n v="3"/>
    <n v="125"/>
    <n v="305125"/>
    <n v="33563.75"/>
    <n v="292920"/>
    <x v="3"/>
  </r>
  <r>
    <x v="2"/>
    <x v="0"/>
    <x v="2"/>
    <x v="0"/>
    <n v="2441"/>
    <n v="10"/>
    <n v="125"/>
    <n v="305125"/>
    <n v="33563.75"/>
    <n v="292920"/>
    <x v="3"/>
  </r>
  <r>
    <x v="2"/>
    <x v="0"/>
    <x v="2"/>
    <x v="1"/>
    <n v="2385"/>
    <n v="10"/>
    <n v="125"/>
    <n v="298125"/>
    <n v="14906.25"/>
    <n v="286200"/>
    <x v="0"/>
  </r>
  <r>
    <x v="0"/>
    <x v="0"/>
    <x v="5"/>
    <x v="0"/>
    <n v="1186"/>
    <n v="5"/>
    <n v="300"/>
    <n v="355800"/>
    <n v="42696"/>
    <n v="296500"/>
    <x v="11"/>
  </r>
  <r>
    <x v="0"/>
    <x v="0"/>
    <x v="1"/>
    <x v="1"/>
    <n v="1221"/>
    <n v="120"/>
    <n v="300"/>
    <n v="366300"/>
    <n v="21978"/>
    <n v="305250"/>
    <x v="1"/>
  </r>
  <r>
    <x v="0"/>
    <x v="0"/>
    <x v="3"/>
    <x v="1"/>
    <n v="1221"/>
    <n v="250"/>
    <n v="300"/>
    <n v="366300"/>
    <n v="21978"/>
    <n v="305250"/>
    <x v="1"/>
  </r>
  <r>
    <x v="2"/>
    <x v="0"/>
    <x v="2"/>
    <x v="2"/>
    <n v="2988"/>
    <n v="10"/>
    <n v="125"/>
    <n v="373500"/>
    <n v="14940"/>
    <n v="358560"/>
    <x v="8"/>
  </r>
  <r>
    <x v="0"/>
    <x v="0"/>
    <x v="2"/>
    <x v="1"/>
    <n v="1324"/>
    <n v="10"/>
    <n v="300"/>
    <n v="397200"/>
    <n v="35748"/>
    <n v="331000"/>
    <x v="14"/>
  </r>
  <r>
    <x v="1"/>
    <x v="0"/>
    <x v="3"/>
    <x v="0"/>
    <n v="1281"/>
    <n v="250"/>
    <n v="350"/>
    <n v="448350"/>
    <n v="62769"/>
    <n v="333060"/>
    <x v="11"/>
  </r>
  <r>
    <x v="0"/>
    <x v="0"/>
    <x v="5"/>
    <x v="1"/>
    <n v="1562"/>
    <n v="5"/>
    <n v="300"/>
    <n v="468600"/>
    <n v="37488"/>
    <n v="390500"/>
    <x v="9"/>
  </r>
  <r>
    <x v="1"/>
    <x v="0"/>
    <x v="5"/>
    <x v="1"/>
    <n v="1384.5"/>
    <n v="5"/>
    <n v="350"/>
    <n v="484575"/>
    <n v="24228.75"/>
    <n v="359970"/>
    <x v="2"/>
  </r>
  <r>
    <x v="0"/>
    <x v="0"/>
    <x v="1"/>
    <x v="1"/>
    <n v="1659"/>
    <n v="120"/>
    <n v="300"/>
    <n v="497700"/>
    <n v="34839"/>
    <n v="414750"/>
    <x v="8"/>
  </r>
  <r>
    <x v="1"/>
    <x v="1"/>
    <x v="5"/>
    <x v="1"/>
    <n v="1460"/>
    <n v="5"/>
    <n v="350"/>
    <n v="511000"/>
    <n v="30660"/>
    <n v="379600"/>
    <x v="12"/>
  </r>
  <r>
    <x v="0"/>
    <x v="1"/>
    <x v="2"/>
    <x v="2"/>
    <n v="1728"/>
    <n v="10"/>
    <n v="300"/>
    <n v="518400"/>
    <n v="10368"/>
    <n v="432000"/>
    <x v="12"/>
  </r>
  <r>
    <x v="2"/>
    <x v="1"/>
    <x v="0"/>
    <x v="3"/>
    <n v="4219.5"/>
    <n v="260"/>
    <n v="125"/>
    <n v="527437.5"/>
    <n v="0"/>
    <n v="506340"/>
    <x v="15"/>
  </r>
  <r>
    <x v="1"/>
    <x v="1"/>
    <x v="4"/>
    <x v="3"/>
    <n v="1513"/>
    <n v="3"/>
    <n v="350"/>
    <n v="529550"/>
    <n v="0"/>
    <n v="393380"/>
    <x v="4"/>
  </r>
  <r>
    <x v="1"/>
    <x v="1"/>
    <x v="2"/>
    <x v="3"/>
    <n v="1513"/>
    <n v="10"/>
    <n v="350"/>
    <n v="529550"/>
    <n v="0"/>
    <n v="393380"/>
    <x v="4"/>
  </r>
  <r>
    <x v="0"/>
    <x v="1"/>
    <x v="5"/>
    <x v="2"/>
    <n v="1859"/>
    <n v="5"/>
    <n v="300"/>
    <n v="557700"/>
    <n v="22308"/>
    <n v="464750"/>
    <x v="9"/>
  </r>
  <r>
    <x v="2"/>
    <x v="1"/>
    <x v="2"/>
    <x v="2"/>
    <n v="1570"/>
    <n v="10"/>
    <n v="125"/>
    <n v="196250"/>
    <n v="5887.5"/>
    <n v="188400"/>
    <x v="10"/>
  </r>
  <r>
    <x v="2"/>
    <x v="1"/>
    <x v="3"/>
    <x v="2"/>
    <n v="1570"/>
    <n v="250"/>
    <n v="125"/>
    <n v="196250"/>
    <n v="5887.5"/>
    <n v="188400"/>
    <x v="10"/>
  </r>
  <r>
    <x v="0"/>
    <x v="1"/>
    <x v="4"/>
    <x v="2"/>
    <n v="689"/>
    <n v="3"/>
    <n v="300"/>
    <n v="206700"/>
    <n v="6201"/>
    <n v="172250"/>
    <x v="10"/>
  </r>
  <r>
    <x v="0"/>
    <x v="1"/>
    <x v="2"/>
    <x v="2"/>
    <n v="689"/>
    <n v="10"/>
    <n v="300"/>
    <n v="206700"/>
    <n v="6201"/>
    <n v="172250"/>
    <x v="10"/>
  </r>
  <r>
    <x v="2"/>
    <x v="1"/>
    <x v="5"/>
    <x v="2"/>
    <n v="1706"/>
    <n v="5"/>
    <n v="125"/>
    <n v="213250"/>
    <n v="6397.5"/>
    <n v="204720"/>
    <x v="4"/>
  </r>
  <r>
    <x v="2"/>
    <x v="1"/>
    <x v="2"/>
    <x v="2"/>
    <n v="1706"/>
    <n v="10"/>
    <n v="125"/>
    <n v="213250"/>
    <n v="6397.5"/>
    <n v="204720"/>
    <x v="4"/>
  </r>
  <r>
    <x v="0"/>
    <x v="1"/>
    <x v="2"/>
    <x v="0"/>
    <n v="807"/>
    <n v="10"/>
    <n v="300"/>
    <n v="242100"/>
    <n v="31473"/>
    <n v="201750"/>
    <x v="2"/>
  </r>
  <r>
    <x v="1"/>
    <x v="1"/>
    <x v="5"/>
    <x v="0"/>
    <n v="766"/>
    <n v="5"/>
    <n v="350"/>
    <n v="268100"/>
    <n v="29491"/>
    <n v="199160"/>
    <x v="2"/>
  </r>
  <r>
    <x v="2"/>
    <x v="1"/>
    <x v="1"/>
    <x v="1"/>
    <n v="2087"/>
    <n v="120"/>
    <n v="125"/>
    <n v="260875"/>
    <n v="18261.25"/>
    <n v="250440"/>
    <x v="5"/>
  </r>
  <r>
    <x v="1"/>
    <x v="1"/>
    <x v="4"/>
    <x v="0"/>
    <n v="792"/>
    <n v="3"/>
    <n v="350"/>
    <n v="277200"/>
    <n v="30492"/>
    <n v="205920"/>
    <x v="0"/>
  </r>
  <r>
    <x v="2"/>
    <x v="1"/>
    <x v="0"/>
    <x v="2"/>
    <n v="2276"/>
    <n v="260"/>
    <n v="125"/>
    <n v="284500"/>
    <n v="5690"/>
    <n v="273120"/>
    <x v="12"/>
  </r>
  <r>
    <x v="2"/>
    <x v="1"/>
    <x v="5"/>
    <x v="1"/>
    <n v="2500"/>
    <n v="5"/>
    <n v="125"/>
    <n v="312500"/>
    <n v="21875"/>
    <n v="300000"/>
    <x v="7"/>
  </r>
  <r>
    <x v="0"/>
    <x v="1"/>
    <x v="3"/>
    <x v="2"/>
    <n v="986"/>
    <n v="250"/>
    <n v="300"/>
    <n v="295800"/>
    <n v="2958"/>
    <n v="246500"/>
    <x v="5"/>
  </r>
  <r>
    <x v="2"/>
    <x v="1"/>
    <x v="4"/>
    <x v="0"/>
    <n v="2767"/>
    <n v="3"/>
    <n v="125"/>
    <n v="345875"/>
    <n v="51881.25"/>
    <n v="332040"/>
    <x v="9"/>
  </r>
  <r>
    <x v="0"/>
    <x v="1"/>
    <x v="2"/>
    <x v="1"/>
    <n v="1123"/>
    <n v="10"/>
    <n v="300"/>
    <n v="336900"/>
    <n v="23583"/>
    <n v="280750"/>
    <x v="13"/>
  </r>
  <r>
    <x v="1"/>
    <x v="1"/>
    <x v="2"/>
    <x v="3"/>
    <n v="1006"/>
    <n v="10"/>
    <n v="350"/>
    <n v="352100"/>
    <n v="0"/>
    <n v="261560"/>
    <x v="10"/>
  </r>
  <r>
    <x v="1"/>
    <x v="1"/>
    <x v="1"/>
    <x v="3"/>
    <n v="1006"/>
    <n v="120"/>
    <n v="350"/>
    <n v="352100"/>
    <n v="0"/>
    <n v="261560"/>
    <x v="10"/>
  </r>
  <r>
    <x v="2"/>
    <x v="1"/>
    <x v="0"/>
    <x v="0"/>
    <n v="3165"/>
    <n v="260"/>
    <n v="125"/>
    <n v="395625"/>
    <n v="43518.75"/>
    <n v="379800"/>
    <x v="2"/>
  </r>
  <r>
    <x v="0"/>
    <x v="1"/>
    <x v="0"/>
    <x v="1"/>
    <n v="1250"/>
    <n v="260"/>
    <n v="300"/>
    <n v="375000"/>
    <n v="18750"/>
    <n v="312500"/>
    <x v="4"/>
  </r>
  <r>
    <x v="0"/>
    <x v="1"/>
    <x v="1"/>
    <x v="1"/>
    <n v="1250"/>
    <n v="120"/>
    <n v="300"/>
    <n v="375000"/>
    <n v="18750"/>
    <n v="312500"/>
    <x v="4"/>
  </r>
  <r>
    <x v="0"/>
    <x v="1"/>
    <x v="2"/>
    <x v="0"/>
    <n v="1359"/>
    <n v="10"/>
    <n v="300"/>
    <n v="407700"/>
    <n v="48924"/>
    <n v="339750"/>
    <x v="14"/>
  </r>
  <r>
    <x v="1"/>
    <x v="1"/>
    <x v="5"/>
    <x v="0"/>
    <n v="1199"/>
    <n v="5"/>
    <n v="350"/>
    <n v="419650"/>
    <n v="58751"/>
    <n v="311740"/>
    <x v="15"/>
  </r>
  <r>
    <x v="0"/>
    <x v="1"/>
    <x v="2"/>
    <x v="2"/>
    <n v="1414.5"/>
    <n v="10"/>
    <n v="300"/>
    <n v="424350"/>
    <n v="16974"/>
    <n v="353625"/>
    <x v="15"/>
  </r>
  <r>
    <x v="2"/>
    <x v="1"/>
    <x v="2"/>
    <x v="1"/>
    <n v="3513"/>
    <n v="10"/>
    <n v="125"/>
    <n v="439125"/>
    <n v="30738.75"/>
    <n v="421560"/>
    <x v="8"/>
  </r>
  <r>
    <x v="1"/>
    <x v="1"/>
    <x v="1"/>
    <x v="1"/>
    <n v="1307"/>
    <n v="120"/>
    <n v="350"/>
    <n v="457450"/>
    <n v="41170.5"/>
    <n v="339820"/>
    <x v="8"/>
  </r>
  <r>
    <x v="1"/>
    <x v="1"/>
    <x v="0"/>
    <x v="1"/>
    <n v="1350"/>
    <n v="260"/>
    <n v="350"/>
    <n v="472500"/>
    <n v="23625"/>
    <n v="351000"/>
    <x v="6"/>
  </r>
  <r>
    <x v="0"/>
    <x v="4"/>
    <x v="2"/>
    <x v="1"/>
    <n v="1702"/>
    <n v="10"/>
    <n v="300"/>
    <n v="510600"/>
    <n v="35742"/>
    <n v="425500"/>
    <x v="12"/>
  </r>
  <r>
    <x v="0"/>
    <x v="2"/>
    <x v="3"/>
    <x v="1"/>
    <n v="1867"/>
    <n v="250"/>
    <n v="300"/>
    <n v="560100"/>
    <n v="50409"/>
    <n v="466750"/>
    <x v="5"/>
  </r>
  <r>
    <x v="0"/>
    <x v="4"/>
    <x v="3"/>
    <x v="2"/>
    <n v="1874"/>
    <n v="250"/>
    <n v="300"/>
    <n v="562200"/>
    <n v="16866"/>
    <n v="468500"/>
    <x v="9"/>
  </r>
  <r>
    <x v="1"/>
    <x v="3"/>
    <x v="0"/>
    <x v="1"/>
    <n v="1679"/>
    <n v="260"/>
    <n v="350"/>
    <n v="587650"/>
    <n v="35259"/>
    <n v="436540"/>
    <x v="5"/>
  </r>
  <r>
    <x v="1"/>
    <x v="3"/>
    <x v="3"/>
    <x v="2"/>
    <n v="1642"/>
    <n v="250"/>
    <n v="350"/>
    <n v="574700"/>
    <n v="17241"/>
    <n v="426920"/>
    <x v="9"/>
  </r>
  <r>
    <x v="0"/>
    <x v="4"/>
    <x v="0"/>
    <x v="2"/>
    <n v="1916"/>
    <n v="260"/>
    <n v="300"/>
    <n v="574800"/>
    <n v="11496"/>
    <n v="479000"/>
    <x v="4"/>
  </r>
  <r>
    <x v="0"/>
    <x v="4"/>
    <x v="2"/>
    <x v="2"/>
    <n v="1916"/>
    <n v="10"/>
    <n v="300"/>
    <n v="574800"/>
    <n v="11496"/>
    <n v="479000"/>
    <x v="4"/>
  </r>
  <r>
    <x v="0"/>
    <x v="4"/>
    <x v="3"/>
    <x v="3"/>
    <n v="2001"/>
    <n v="250"/>
    <n v="300"/>
    <n v="600300"/>
    <n v="0"/>
    <n v="500250"/>
    <x v="6"/>
  </r>
  <r>
    <x v="2"/>
    <x v="3"/>
    <x v="1"/>
    <x v="0"/>
    <n v="1575"/>
    <n v="120"/>
    <n v="125"/>
    <n v="196875"/>
    <n v="27562.5"/>
    <n v="189000"/>
    <x v="6"/>
  </r>
  <r>
    <x v="2"/>
    <x v="4"/>
    <x v="2"/>
    <x v="0"/>
    <n v="1583"/>
    <n v="10"/>
    <n v="125"/>
    <n v="197875"/>
    <n v="25723.75"/>
    <n v="189960"/>
    <x v="10"/>
  </r>
  <r>
    <x v="2"/>
    <x v="4"/>
    <x v="3"/>
    <x v="0"/>
    <n v="1583"/>
    <n v="250"/>
    <n v="125"/>
    <n v="197875"/>
    <n v="25723.75"/>
    <n v="189960"/>
    <x v="10"/>
  </r>
  <r>
    <x v="0"/>
    <x v="3"/>
    <x v="0"/>
    <x v="1"/>
    <n v="635"/>
    <n v="260"/>
    <n v="300"/>
    <n v="190500"/>
    <n v="15240"/>
    <n v="158750"/>
    <x v="4"/>
  </r>
  <r>
    <x v="0"/>
    <x v="3"/>
    <x v="1"/>
    <x v="1"/>
    <n v="635"/>
    <n v="120"/>
    <n v="300"/>
    <n v="190500"/>
    <n v="15240"/>
    <n v="158750"/>
    <x v="4"/>
  </r>
  <r>
    <x v="2"/>
    <x v="3"/>
    <x v="4"/>
    <x v="1"/>
    <n v="1540"/>
    <n v="3"/>
    <n v="125"/>
    <n v="192500"/>
    <n v="15400"/>
    <n v="184800"/>
    <x v="9"/>
  </r>
  <r>
    <x v="2"/>
    <x v="2"/>
    <x v="1"/>
    <x v="0"/>
    <n v="1596"/>
    <n v="120"/>
    <n v="125"/>
    <n v="199500"/>
    <n v="19950"/>
    <n v="191520"/>
    <x v="5"/>
  </r>
  <r>
    <x v="2"/>
    <x v="4"/>
    <x v="0"/>
    <x v="0"/>
    <n v="1659"/>
    <n v="260"/>
    <n v="125"/>
    <n v="207375"/>
    <n v="26958.75"/>
    <n v="199080"/>
    <x v="2"/>
  </r>
  <r>
    <x v="1"/>
    <x v="4"/>
    <x v="0"/>
    <x v="1"/>
    <n v="552"/>
    <n v="260"/>
    <n v="350"/>
    <n v="193200"/>
    <n v="9660"/>
    <n v="143520"/>
    <x v="9"/>
  </r>
  <r>
    <x v="2"/>
    <x v="4"/>
    <x v="0"/>
    <x v="1"/>
    <n v="1645"/>
    <n v="260"/>
    <n v="125"/>
    <n v="205625"/>
    <n v="14393.75"/>
    <n v="197400"/>
    <x v="12"/>
  </r>
  <r>
    <x v="1"/>
    <x v="4"/>
    <x v="3"/>
    <x v="0"/>
    <n v="623"/>
    <n v="250"/>
    <n v="350"/>
    <n v="218050"/>
    <n v="26166"/>
    <n v="161980"/>
    <x v="13"/>
  </r>
  <r>
    <x v="1"/>
    <x v="2"/>
    <x v="2"/>
    <x v="1"/>
    <n v="602"/>
    <n v="10"/>
    <n v="350"/>
    <n v="210700"/>
    <n v="10535"/>
    <n v="156520"/>
    <x v="10"/>
  </r>
  <r>
    <x v="1"/>
    <x v="2"/>
    <x v="1"/>
    <x v="1"/>
    <n v="602"/>
    <n v="120"/>
    <n v="350"/>
    <n v="210700"/>
    <n v="10535"/>
    <n v="156520"/>
    <x v="10"/>
  </r>
  <r>
    <x v="2"/>
    <x v="2"/>
    <x v="5"/>
    <x v="0"/>
    <n v="1804"/>
    <n v="5"/>
    <n v="125"/>
    <n v="225500"/>
    <n v="22550"/>
    <n v="216480"/>
    <x v="7"/>
  </r>
  <r>
    <x v="2"/>
    <x v="3"/>
    <x v="5"/>
    <x v="2"/>
    <n v="1660"/>
    <n v="5"/>
    <n v="125"/>
    <n v="207500"/>
    <n v="4150"/>
    <n v="199200"/>
    <x v="7"/>
  </r>
  <r>
    <x v="0"/>
    <x v="3"/>
    <x v="4"/>
    <x v="0"/>
    <n v="801"/>
    <n v="3"/>
    <n v="300"/>
    <n v="240300"/>
    <n v="33642"/>
    <n v="200250"/>
    <x v="8"/>
  </r>
  <r>
    <x v="1"/>
    <x v="4"/>
    <x v="2"/>
    <x v="0"/>
    <n v="700"/>
    <n v="10"/>
    <n v="350"/>
    <n v="245000"/>
    <n v="34300"/>
    <n v="182000"/>
    <x v="14"/>
  </r>
  <r>
    <x v="2"/>
    <x v="4"/>
    <x v="2"/>
    <x v="2"/>
    <n v="1774"/>
    <n v="10"/>
    <n v="125"/>
    <n v="221750"/>
    <n v="6652.5"/>
    <n v="212880"/>
    <x v="0"/>
  </r>
  <r>
    <x v="2"/>
    <x v="4"/>
    <x v="1"/>
    <x v="0"/>
    <n v="1916"/>
    <n v="120"/>
    <n v="125"/>
    <n v="239500"/>
    <n v="23950"/>
    <n v="229920"/>
    <x v="11"/>
  </r>
  <r>
    <x v="1"/>
    <x v="4"/>
    <x v="0"/>
    <x v="0"/>
    <n v="707"/>
    <n v="260"/>
    <n v="350"/>
    <n v="247450"/>
    <n v="24745"/>
    <n v="183820"/>
    <x v="5"/>
  </r>
  <r>
    <x v="0"/>
    <x v="2"/>
    <x v="3"/>
    <x v="1"/>
    <n v="808"/>
    <n v="250"/>
    <n v="300"/>
    <n v="242400"/>
    <n v="19392"/>
    <n v="202000"/>
    <x v="11"/>
  </r>
  <r>
    <x v="2"/>
    <x v="3"/>
    <x v="2"/>
    <x v="2"/>
    <n v="1823"/>
    <n v="10"/>
    <n v="125"/>
    <n v="227875"/>
    <n v="2278.75"/>
    <n v="218760"/>
    <x v="8"/>
  </r>
  <r>
    <x v="0"/>
    <x v="4"/>
    <x v="0"/>
    <x v="0"/>
    <n v="888"/>
    <n v="260"/>
    <n v="300"/>
    <n v="266400"/>
    <n v="37296"/>
    <n v="222000"/>
    <x v="0"/>
  </r>
  <r>
    <x v="0"/>
    <x v="4"/>
    <x v="2"/>
    <x v="0"/>
    <n v="873"/>
    <n v="10"/>
    <n v="300"/>
    <n v="261900"/>
    <n v="28809"/>
    <n v="218250"/>
    <x v="2"/>
  </r>
  <r>
    <x v="0"/>
    <x v="3"/>
    <x v="2"/>
    <x v="3"/>
    <n v="788"/>
    <n v="10"/>
    <n v="300"/>
    <n v="236400"/>
    <n v="0"/>
    <n v="197000"/>
    <x v="13"/>
  </r>
  <r>
    <x v="2"/>
    <x v="3"/>
    <x v="4"/>
    <x v="0"/>
    <n v="2156"/>
    <n v="3"/>
    <n v="125"/>
    <n v="269500"/>
    <n v="32340"/>
    <n v="258720"/>
    <x v="3"/>
  </r>
  <r>
    <x v="2"/>
    <x v="3"/>
    <x v="2"/>
    <x v="0"/>
    <n v="2156"/>
    <n v="10"/>
    <n v="125"/>
    <n v="269500"/>
    <n v="32340"/>
    <n v="258720"/>
    <x v="3"/>
  </r>
  <r>
    <x v="1"/>
    <x v="2"/>
    <x v="0"/>
    <x v="1"/>
    <n v="727"/>
    <n v="260"/>
    <n v="350"/>
    <n v="254450"/>
    <n v="15267"/>
    <n v="189020"/>
    <x v="1"/>
  </r>
  <r>
    <x v="1"/>
    <x v="2"/>
    <x v="2"/>
    <x v="1"/>
    <n v="727"/>
    <n v="10"/>
    <n v="350"/>
    <n v="254450"/>
    <n v="15267"/>
    <n v="189020"/>
    <x v="1"/>
  </r>
  <r>
    <x v="1"/>
    <x v="3"/>
    <x v="5"/>
    <x v="1"/>
    <n v="720"/>
    <n v="5"/>
    <n v="350"/>
    <n v="252000"/>
    <n v="12600"/>
    <n v="187200"/>
    <x v="13"/>
  </r>
  <r>
    <x v="2"/>
    <x v="3"/>
    <x v="1"/>
    <x v="1"/>
    <n v="2110"/>
    <n v="120"/>
    <n v="125"/>
    <n v="263750"/>
    <n v="23737.5"/>
    <n v="253200"/>
    <x v="5"/>
  </r>
  <r>
    <x v="2"/>
    <x v="4"/>
    <x v="2"/>
    <x v="2"/>
    <n v="2009"/>
    <n v="10"/>
    <n v="125"/>
    <n v="251125"/>
    <n v="7533.75"/>
    <n v="241080"/>
    <x v="3"/>
  </r>
  <r>
    <x v="2"/>
    <x v="4"/>
    <x v="1"/>
    <x v="2"/>
    <n v="2009"/>
    <n v="120"/>
    <n v="125"/>
    <n v="251125"/>
    <n v="7533.75"/>
    <n v="241080"/>
    <x v="3"/>
  </r>
  <r>
    <x v="2"/>
    <x v="2"/>
    <x v="1"/>
    <x v="0"/>
    <n v="2438"/>
    <n v="120"/>
    <n v="125"/>
    <n v="304750"/>
    <n v="45712.5"/>
    <n v="292560"/>
    <x v="11"/>
  </r>
  <r>
    <x v="0"/>
    <x v="2"/>
    <x v="4"/>
    <x v="0"/>
    <n v="1010"/>
    <n v="3"/>
    <n v="300"/>
    <n v="303000"/>
    <n v="42420"/>
    <n v="252500"/>
    <x v="3"/>
  </r>
  <r>
    <x v="0"/>
    <x v="2"/>
    <x v="3"/>
    <x v="0"/>
    <n v="1010"/>
    <n v="250"/>
    <n v="300"/>
    <n v="303000"/>
    <n v="42420"/>
    <n v="252500"/>
    <x v="3"/>
  </r>
  <r>
    <x v="2"/>
    <x v="2"/>
    <x v="3"/>
    <x v="0"/>
    <n v="2387"/>
    <n v="250"/>
    <n v="125"/>
    <n v="298375"/>
    <n v="35805"/>
    <n v="286440"/>
    <x v="14"/>
  </r>
  <r>
    <x v="2"/>
    <x v="3"/>
    <x v="2"/>
    <x v="2"/>
    <n v="2145"/>
    <n v="10"/>
    <n v="125"/>
    <n v="268125"/>
    <n v="5362.5"/>
    <n v="257400"/>
    <x v="1"/>
  </r>
  <r>
    <x v="2"/>
    <x v="3"/>
    <x v="1"/>
    <x v="2"/>
    <n v="2145"/>
    <n v="120"/>
    <n v="125"/>
    <n v="268125"/>
    <n v="5362.5"/>
    <n v="257400"/>
    <x v="1"/>
  </r>
  <r>
    <x v="2"/>
    <x v="4"/>
    <x v="4"/>
    <x v="0"/>
    <n v="2416"/>
    <n v="3"/>
    <n v="125"/>
    <n v="302000"/>
    <n v="36240"/>
    <n v="289920"/>
    <x v="13"/>
  </r>
  <r>
    <x v="1"/>
    <x v="3"/>
    <x v="4"/>
    <x v="0"/>
    <n v="886"/>
    <n v="3"/>
    <n v="350"/>
    <n v="310100"/>
    <n v="37212"/>
    <n v="230360"/>
    <x v="10"/>
  </r>
  <r>
    <x v="1"/>
    <x v="3"/>
    <x v="2"/>
    <x v="0"/>
    <n v="886"/>
    <n v="10"/>
    <n v="350"/>
    <n v="310100"/>
    <n v="37212"/>
    <n v="230360"/>
    <x v="10"/>
  </r>
  <r>
    <x v="1"/>
    <x v="4"/>
    <x v="4"/>
    <x v="0"/>
    <n v="923"/>
    <n v="3"/>
    <n v="350"/>
    <n v="323050"/>
    <n v="41996.5"/>
    <n v="239980"/>
    <x v="0"/>
  </r>
  <r>
    <x v="0"/>
    <x v="2"/>
    <x v="4"/>
    <x v="1"/>
    <n v="991"/>
    <n v="3"/>
    <n v="300"/>
    <n v="297300"/>
    <n v="14865"/>
    <n v="247750"/>
    <x v="10"/>
  </r>
  <r>
    <x v="0"/>
    <x v="2"/>
    <x v="2"/>
    <x v="1"/>
    <n v="991"/>
    <n v="10"/>
    <n v="300"/>
    <n v="297300"/>
    <n v="14865"/>
    <n v="247750"/>
    <x v="10"/>
  </r>
  <r>
    <x v="2"/>
    <x v="4"/>
    <x v="3"/>
    <x v="0"/>
    <n v="2529"/>
    <n v="250"/>
    <n v="125"/>
    <n v="316125"/>
    <n v="31612.5"/>
    <n v="303480"/>
    <x v="14"/>
  </r>
  <r>
    <x v="0"/>
    <x v="3"/>
    <x v="5"/>
    <x v="3"/>
    <n v="958"/>
    <n v="5"/>
    <n v="300"/>
    <n v="287400"/>
    <n v="0"/>
    <n v="239500"/>
    <x v="9"/>
  </r>
  <r>
    <x v="0"/>
    <x v="4"/>
    <x v="4"/>
    <x v="1"/>
    <n v="1094"/>
    <n v="3"/>
    <n v="300"/>
    <n v="328200"/>
    <n v="29538"/>
    <n v="273500"/>
    <x v="10"/>
  </r>
  <r>
    <x v="0"/>
    <x v="4"/>
    <x v="2"/>
    <x v="1"/>
    <n v="1094"/>
    <n v="10"/>
    <n v="300"/>
    <n v="328200"/>
    <n v="29538"/>
    <n v="273500"/>
    <x v="10"/>
  </r>
  <r>
    <x v="1"/>
    <x v="2"/>
    <x v="5"/>
    <x v="0"/>
    <n v="982.5"/>
    <n v="5"/>
    <n v="350"/>
    <n v="343875"/>
    <n v="44703.75"/>
    <n v="255450"/>
    <x v="2"/>
  </r>
  <r>
    <x v="2"/>
    <x v="3"/>
    <x v="4"/>
    <x v="0"/>
    <n v="2821"/>
    <n v="3"/>
    <n v="125"/>
    <n v="352625"/>
    <n v="49367.5"/>
    <n v="338520"/>
    <x v="11"/>
  </r>
  <r>
    <x v="1"/>
    <x v="2"/>
    <x v="1"/>
    <x v="0"/>
    <n v="986"/>
    <n v="120"/>
    <n v="350"/>
    <n v="345100"/>
    <n v="41412"/>
    <n v="256360"/>
    <x v="3"/>
  </r>
  <r>
    <x v="1"/>
    <x v="2"/>
    <x v="3"/>
    <x v="0"/>
    <n v="986"/>
    <n v="250"/>
    <n v="350"/>
    <n v="345100"/>
    <n v="41412"/>
    <n v="256360"/>
    <x v="3"/>
  </r>
  <r>
    <x v="2"/>
    <x v="2"/>
    <x v="0"/>
    <x v="0"/>
    <n v="2844"/>
    <n v="260"/>
    <n v="125"/>
    <n v="355500"/>
    <n v="49770"/>
    <n v="341280"/>
    <x v="12"/>
  </r>
  <r>
    <x v="0"/>
    <x v="3"/>
    <x v="5"/>
    <x v="1"/>
    <n v="1100"/>
    <n v="5"/>
    <n v="300"/>
    <n v="330000"/>
    <n v="16500"/>
    <n v="275000"/>
    <x v="11"/>
  </r>
  <r>
    <x v="2"/>
    <x v="4"/>
    <x v="3"/>
    <x v="0"/>
    <n v="2954"/>
    <n v="250"/>
    <n v="125"/>
    <n v="369250"/>
    <n v="55387.5"/>
    <n v="354480"/>
    <x v="7"/>
  </r>
  <r>
    <x v="2"/>
    <x v="2"/>
    <x v="5"/>
    <x v="1"/>
    <n v="2797"/>
    <n v="5"/>
    <n v="125"/>
    <n v="349625"/>
    <n v="31466.25"/>
    <n v="335640"/>
    <x v="4"/>
  </r>
  <r>
    <x v="2"/>
    <x v="2"/>
    <x v="2"/>
    <x v="1"/>
    <n v="2797"/>
    <n v="10"/>
    <n v="125"/>
    <n v="349625"/>
    <n v="31466.25"/>
    <n v="335640"/>
    <x v="4"/>
  </r>
  <r>
    <x v="1"/>
    <x v="3"/>
    <x v="5"/>
    <x v="1"/>
    <n v="980"/>
    <n v="5"/>
    <n v="350"/>
    <n v="343000"/>
    <n v="20580"/>
    <n v="254800"/>
    <x v="15"/>
  </r>
  <r>
    <x v="0"/>
    <x v="3"/>
    <x v="0"/>
    <x v="2"/>
    <n v="1101"/>
    <n v="260"/>
    <n v="300"/>
    <n v="330300"/>
    <n v="6606"/>
    <n v="275250"/>
    <x v="0"/>
  </r>
  <r>
    <x v="2"/>
    <x v="2"/>
    <x v="1"/>
    <x v="1"/>
    <n v="2755"/>
    <n v="120"/>
    <n v="125"/>
    <n v="344375"/>
    <n v="20662.5"/>
    <n v="330600"/>
    <x v="6"/>
  </r>
  <r>
    <x v="1"/>
    <x v="4"/>
    <x v="3"/>
    <x v="2"/>
    <n v="943.5"/>
    <n v="250"/>
    <n v="350"/>
    <n v="330225"/>
    <n v="3302.25"/>
    <n v="245310"/>
    <x v="15"/>
  </r>
  <r>
    <x v="2"/>
    <x v="4"/>
    <x v="5"/>
    <x v="3"/>
    <n v="2665.5"/>
    <n v="5"/>
    <n v="125"/>
    <n v="333187.5"/>
    <n v="0"/>
    <n v="319860"/>
    <x v="8"/>
  </r>
  <r>
    <x v="2"/>
    <x v="4"/>
    <x v="2"/>
    <x v="2"/>
    <n v="2729"/>
    <n v="10"/>
    <n v="125"/>
    <n v="341125"/>
    <n v="6822.5"/>
    <n v="327480"/>
    <x v="4"/>
  </r>
  <r>
    <x v="2"/>
    <x v="4"/>
    <x v="3"/>
    <x v="2"/>
    <n v="2729"/>
    <n v="250"/>
    <n v="125"/>
    <n v="341125"/>
    <n v="6822.5"/>
    <n v="327480"/>
    <x v="4"/>
  </r>
  <r>
    <x v="2"/>
    <x v="2"/>
    <x v="1"/>
    <x v="3"/>
    <n v="2821"/>
    <n v="120"/>
    <n v="125"/>
    <n v="352625"/>
    <n v="0"/>
    <n v="338520"/>
    <x v="9"/>
  </r>
  <r>
    <x v="0"/>
    <x v="4"/>
    <x v="5"/>
    <x v="1"/>
    <n v="1283"/>
    <n v="5"/>
    <n v="300"/>
    <n v="384900"/>
    <n v="30792"/>
    <n v="320750"/>
    <x v="13"/>
  </r>
  <r>
    <x v="1"/>
    <x v="2"/>
    <x v="2"/>
    <x v="0"/>
    <n v="1177"/>
    <n v="10"/>
    <n v="350"/>
    <n v="411950"/>
    <n v="57673"/>
    <n v="306020"/>
    <x v="14"/>
  </r>
  <r>
    <x v="2"/>
    <x v="2"/>
    <x v="2"/>
    <x v="1"/>
    <n v="2992"/>
    <n v="10"/>
    <n v="125"/>
    <n v="374000"/>
    <n v="18700"/>
    <n v="359040"/>
    <x v="0"/>
  </r>
  <r>
    <x v="0"/>
    <x v="4"/>
    <x v="2"/>
    <x v="0"/>
    <n v="1366"/>
    <n v="10"/>
    <n v="300"/>
    <n v="409800"/>
    <n v="45078"/>
    <n v="341500"/>
    <x v="14"/>
  </r>
  <r>
    <x v="1"/>
    <x v="3"/>
    <x v="2"/>
    <x v="0"/>
    <n v="1197"/>
    <n v="10"/>
    <n v="350"/>
    <n v="418950"/>
    <n v="50274"/>
    <n v="311220"/>
    <x v="14"/>
  </r>
  <r>
    <x v="0"/>
    <x v="2"/>
    <x v="0"/>
    <x v="1"/>
    <n v="1372"/>
    <n v="260"/>
    <n v="300"/>
    <n v="411600"/>
    <n v="28812"/>
    <n v="343000"/>
    <x v="4"/>
  </r>
  <r>
    <x v="0"/>
    <x v="2"/>
    <x v="1"/>
    <x v="1"/>
    <n v="1372"/>
    <n v="120"/>
    <n v="300"/>
    <n v="411600"/>
    <n v="28812"/>
    <n v="343000"/>
    <x v="4"/>
  </r>
  <r>
    <x v="0"/>
    <x v="4"/>
    <x v="4"/>
    <x v="0"/>
    <n v="1496"/>
    <n v="3"/>
    <n v="300"/>
    <n v="448800"/>
    <n v="62832"/>
    <n v="374000"/>
    <x v="3"/>
  </r>
  <r>
    <x v="0"/>
    <x v="4"/>
    <x v="3"/>
    <x v="0"/>
    <n v="1496"/>
    <n v="250"/>
    <n v="300"/>
    <n v="448800"/>
    <n v="62832"/>
    <n v="374000"/>
    <x v="3"/>
  </r>
  <r>
    <x v="2"/>
    <x v="2"/>
    <x v="4"/>
    <x v="0"/>
    <n v="3445.5"/>
    <n v="3"/>
    <n v="125"/>
    <n v="430687.5"/>
    <n v="43068.75"/>
    <n v="413460"/>
    <x v="15"/>
  </r>
  <r>
    <x v="0"/>
    <x v="4"/>
    <x v="2"/>
    <x v="1"/>
    <n v="1404"/>
    <n v="10"/>
    <n v="300"/>
    <n v="421200"/>
    <n v="29484"/>
    <n v="351000"/>
    <x v="7"/>
  </r>
  <r>
    <x v="1"/>
    <x v="4"/>
    <x v="0"/>
    <x v="1"/>
    <n v="1269"/>
    <n v="260"/>
    <n v="350"/>
    <n v="444150"/>
    <n v="39973.5"/>
    <n v="329940"/>
    <x v="3"/>
  </r>
  <r>
    <x v="1"/>
    <x v="4"/>
    <x v="1"/>
    <x v="1"/>
    <n v="1269"/>
    <n v="120"/>
    <n v="350"/>
    <n v="444150"/>
    <n v="39973.5"/>
    <n v="329940"/>
    <x v="3"/>
  </r>
  <r>
    <x v="1"/>
    <x v="4"/>
    <x v="0"/>
    <x v="1"/>
    <n v="1228"/>
    <n v="260"/>
    <n v="350"/>
    <n v="429800"/>
    <n v="21490"/>
    <n v="319280"/>
    <x v="1"/>
  </r>
  <r>
    <x v="1"/>
    <x v="4"/>
    <x v="2"/>
    <x v="1"/>
    <n v="1228"/>
    <n v="10"/>
    <n v="350"/>
    <n v="429800"/>
    <n v="21490"/>
    <n v="319280"/>
    <x v="1"/>
  </r>
  <r>
    <x v="1"/>
    <x v="3"/>
    <x v="4"/>
    <x v="2"/>
    <n v="1210"/>
    <n v="3"/>
    <n v="350"/>
    <n v="423500"/>
    <n v="4235"/>
    <n v="314600"/>
    <x v="0"/>
  </r>
  <r>
    <x v="1"/>
    <x v="3"/>
    <x v="1"/>
    <x v="0"/>
    <n v="1395"/>
    <n v="120"/>
    <n v="350"/>
    <n v="488250"/>
    <n v="58590"/>
    <n v="362700"/>
    <x v="8"/>
  </r>
  <r>
    <x v="1"/>
    <x v="2"/>
    <x v="3"/>
    <x v="1"/>
    <n v="1351.5"/>
    <n v="250"/>
    <n v="350"/>
    <n v="473025"/>
    <n v="42572.25"/>
    <n v="351390"/>
    <x v="15"/>
  </r>
  <r>
    <x v="2"/>
    <x v="2"/>
    <x v="5"/>
    <x v="1"/>
    <n v="3627"/>
    <n v="5"/>
    <n v="125"/>
    <n v="453375"/>
    <n v="22668.75"/>
    <n v="435240"/>
    <x v="8"/>
  </r>
  <r>
    <x v="1"/>
    <x v="3"/>
    <x v="4"/>
    <x v="1"/>
    <n v="1362"/>
    <n v="3"/>
    <n v="350"/>
    <n v="476700"/>
    <n v="38136"/>
    <n v="354120"/>
    <x v="4"/>
  </r>
  <r>
    <x v="1"/>
    <x v="3"/>
    <x v="2"/>
    <x v="1"/>
    <n v="1362"/>
    <n v="10"/>
    <n v="350"/>
    <n v="476700"/>
    <n v="38136"/>
    <n v="354120"/>
    <x v="4"/>
  </r>
  <r>
    <x v="0"/>
    <x v="3"/>
    <x v="2"/>
    <x v="1"/>
    <n v="1607"/>
    <n v="10"/>
    <n v="300"/>
    <n v="482100"/>
    <n v="24105"/>
    <n v="401750"/>
    <x v="15"/>
  </r>
  <r>
    <x v="1"/>
    <x v="3"/>
    <x v="4"/>
    <x v="2"/>
    <n v="1397"/>
    <n v="3"/>
    <n v="350"/>
    <n v="488950"/>
    <n v="4889.5"/>
    <n v="363220"/>
    <x v="3"/>
  </r>
  <r>
    <x v="1"/>
    <x v="3"/>
    <x v="3"/>
    <x v="2"/>
    <n v="1397"/>
    <n v="250"/>
    <n v="350"/>
    <n v="488950"/>
    <n v="4889.5"/>
    <n v="363220"/>
    <x v="3"/>
  </r>
  <r>
    <x v="1"/>
    <x v="0"/>
    <x v="5"/>
    <x v="0"/>
    <n v="293"/>
    <n v="5"/>
    <n v="7"/>
    <n v="2051"/>
    <n v="287.14"/>
    <n v="1465"/>
    <x v="6"/>
  </r>
  <r>
    <x v="3"/>
    <x v="0"/>
    <x v="0"/>
    <x v="1"/>
    <n v="306"/>
    <n v="260"/>
    <n v="12"/>
    <n v="3672"/>
    <n v="330.48"/>
    <n v="918"/>
    <x v="11"/>
  </r>
  <r>
    <x v="1"/>
    <x v="0"/>
    <x v="5"/>
    <x v="2"/>
    <n v="544"/>
    <n v="5"/>
    <n v="7"/>
    <n v="3808"/>
    <n v="114.24"/>
    <n v="2720"/>
    <x v="5"/>
  </r>
  <r>
    <x v="1"/>
    <x v="0"/>
    <x v="1"/>
    <x v="2"/>
    <n v="639"/>
    <n v="120"/>
    <n v="7"/>
    <n v="4473"/>
    <n v="44.73"/>
    <n v="3195"/>
    <x v="14"/>
  </r>
  <r>
    <x v="4"/>
    <x v="0"/>
    <x v="0"/>
    <x v="2"/>
    <n v="321"/>
    <n v="260"/>
    <n v="15"/>
    <n v="4815"/>
    <n v="48.15"/>
    <n v="3210"/>
    <x v="7"/>
  </r>
  <r>
    <x v="1"/>
    <x v="0"/>
    <x v="2"/>
    <x v="0"/>
    <n v="293"/>
    <n v="10"/>
    <n v="20"/>
    <n v="5860"/>
    <n v="879"/>
    <n v="2930"/>
    <x v="4"/>
  </r>
  <r>
    <x v="1"/>
    <x v="0"/>
    <x v="3"/>
    <x v="0"/>
    <n v="293"/>
    <n v="250"/>
    <n v="20"/>
    <n v="5860"/>
    <n v="879"/>
    <n v="2930"/>
    <x v="4"/>
  </r>
  <r>
    <x v="1"/>
    <x v="1"/>
    <x v="4"/>
    <x v="0"/>
    <n v="280"/>
    <n v="3"/>
    <n v="7"/>
    <n v="1960"/>
    <n v="274.39999999999998"/>
    <n v="1400"/>
    <x v="4"/>
  </r>
  <r>
    <x v="1"/>
    <x v="1"/>
    <x v="3"/>
    <x v="0"/>
    <n v="280"/>
    <n v="250"/>
    <n v="7"/>
    <n v="1960"/>
    <n v="274.39999999999998"/>
    <n v="1400"/>
    <x v="4"/>
  </r>
  <r>
    <x v="1"/>
    <x v="1"/>
    <x v="3"/>
    <x v="2"/>
    <n v="263"/>
    <n v="250"/>
    <n v="7"/>
    <n v="1841"/>
    <n v="18.41"/>
    <n v="1315"/>
    <x v="0"/>
  </r>
  <r>
    <x v="1"/>
    <x v="1"/>
    <x v="2"/>
    <x v="1"/>
    <n v="360"/>
    <n v="10"/>
    <n v="7"/>
    <n v="2520"/>
    <n v="226.8"/>
    <n v="1800"/>
    <x v="3"/>
  </r>
  <r>
    <x v="1"/>
    <x v="1"/>
    <x v="3"/>
    <x v="1"/>
    <n v="360"/>
    <n v="250"/>
    <n v="7"/>
    <n v="2520"/>
    <n v="226.8"/>
    <n v="1800"/>
    <x v="3"/>
  </r>
  <r>
    <x v="4"/>
    <x v="1"/>
    <x v="2"/>
    <x v="0"/>
    <n v="278"/>
    <n v="10"/>
    <n v="15"/>
    <n v="4170"/>
    <n v="583.79999999999995"/>
    <n v="2780"/>
    <x v="6"/>
  </r>
  <r>
    <x v="1"/>
    <x v="1"/>
    <x v="2"/>
    <x v="0"/>
    <n v="241"/>
    <n v="10"/>
    <n v="20"/>
    <n v="4820"/>
    <n v="482"/>
    <n v="2410"/>
    <x v="3"/>
  </r>
  <r>
    <x v="1"/>
    <x v="1"/>
    <x v="1"/>
    <x v="0"/>
    <n v="241"/>
    <n v="120"/>
    <n v="20"/>
    <n v="4820"/>
    <n v="482"/>
    <n v="2410"/>
    <x v="3"/>
  </r>
  <r>
    <x v="3"/>
    <x v="1"/>
    <x v="2"/>
    <x v="3"/>
    <n v="367"/>
    <n v="10"/>
    <n v="12"/>
    <n v="4404"/>
    <n v="0"/>
    <n v="1101"/>
    <x v="8"/>
  </r>
  <r>
    <x v="3"/>
    <x v="1"/>
    <x v="0"/>
    <x v="0"/>
    <n v="472"/>
    <n v="260"/>
    <n v="12"/>
    <n v="5664"/>
    <n v="623.04"/>
    <n v="1416"/>
    <x v="3"/>
  </r>
  <r>
    <x v="3"/>
    <x v="1"/>
    <x v="1"/>
    <x v="0"/>
    <n v="472"/>
    <n v="120"/>
    <n v="12"/>
    <n v="5664"/>
    <n v="623.04"/>
    <n v="1416"/>
    <x v="3"/>
  </r>
  <r>
    <x v="1"/>
    <x v="4"/>
    <x v="2"/>
    <x v="1"/>
    <n v="257"/>
    <n v="10"/>
    <n v="7"/>
    <n v="1799"/>
    <n v="143.91999999999999"/>
    <n v="1285"/>
    <x v="12"/>
  </r>
  <r>
    <x v="1"/>
    <x v="2"/>
    <x v="4"/>
    <x v="1"/>
    <n v="263"/>
    <n v="3"/>
    <n v="7"/>
    <n v="1841"/>
    <n v="110.46"/>
    <n v="1315"/>
    <x v="7"/>
  </r>
  <r>
    <x v="1"/>
    <x v="4"/>
    <x v="5"/>
    <x v="0"/>
    <n v="388"/>
    <n v="5"/>
    <n v="7"/>
    <n v="2716"/>
    <n v="380.24"/>
    <n v="1940"/>
    <x v="5"/>
  </r>
  <r>
    <x v="1"/>
    <x v="2"/>
    <x v="2"/>
    <x v="0"/>
    <n v="380"/>
    <n v="10"/>
    <n v="7"/>
    <n v="2660"/>
    <n v="292.60000000000002"/>
    <n v="1900"/>
    <x v="13"/>
  </r>
  <r>
    <x v="1"/>
    <x v="3"/>
    <x v="1"/>
    <x v="2"/>
    <n v="362"/>
    <n v="120"/>
    <n v="7"/>
    <n v="2534"/>
    <n v="25.34"/>
    <n v="1810"/>
    <x v="12"/>
  </r>
  <r>
    <x v="4"/>
    <x v="4"/>
    <x v="2"/>
    <x v="2"/>
    <n v="218"/>
    <n v="10"/>
    <n v="15"/>
    <n v="3270"/>
    <n v="130.80000000000001"/>
    <n v="2180"/>
    <x v="5"/>
  </r>
  <r>
    <x v="1"/>
    <x v="4"/>
    <x v="5"/>
    <x v="1"/>
    <n v="488"/>
    <n v="5"/>
    <n v="7"/>
    <n v="3416"/>
    <n v="273.27999999999997"/>
    <n v="2440"/>
    <x v="6"/>
  </r>
  <r>
    <x v="1"/>
    <x v="3"/>
    <x v="4"/>
    <x v="1"/>
    <n v="521"/>
    <n v="3"/>
    <n v="7"/>
    <n v="3647"/>
    <n v="328.23"/>
    <n v="2605"/>
    <x v="4"/>
  </r>
  <r>
    <x v="1"/>
    <x v="3"/>
    <x v="3"/>
    <x v="1"/>
    <n v="521"/>
    <n v="250"/>
    <n v="7"/>
    <n v="3647"/>
    <n v="328.23"/>
    <n v="2605"/>
    <x v="4"/>
  </r>
  <r>
    <x v="4"/>
    <x v="3"/>
    <x v="1"/>
    <x v="1"/>
    <n v="245"/>
    <n v="120"/>
    <n v="15"/>
    <n v="3675"/>
    <n v="330.75"/>
    <n v="2450"/>
    <x v="12"/>
  </r>
  <r>
    <x v="1"/>
    <x v="2"/>
    <x v="1"/>
    <x v="1"/>
    <n v="547"/>
    <n v="120"/>
    <n v="7"/>
    <n v="3829"/>
    <n v="268.02999999999997"/>
    <n v="2735"/>
    <x v="14"/>
  </r>
  <r>
    <x v="1"/>
    <x v="2"/>
    <x v="4"/>
    <x v="1"/>
    <n v="570"/>
    <n v="3"/>
    <n v="7"/>
    <n v="3990"/>
    <n v="199.5"/>
    <n v="2850"/>
    <x v="4"/>
  </r>
  <r>
    <x v="1"/>
    <x v="2"/>
    <x v="3"/>
    <x v="1"/>
    <n v="570"/>
    <n v="250"/>
    <n v="7"/>
    <n v="3990"/>
    <n v="199.5"/>
    <n v="2850"/>
    <x v="4"/>
  </r>
  <r>
    <x v="3"/>
    <x v="3"/>
    <x v="4"/>
    <x v="1"/>
    <n v="367"/>
    <n v="3"/>
    <n v="12"/>
    <n v="4404"/>
    <n v="396.36"/>
    <n v="1101"/>
    <x v="1"/>
  </r>
  <r>
    <x v="3"/>
    <x v="3"/>
    <x v="2"/>
    <x v="1"/>
    <n v="367"/>
    <n v="10"/>
    <n v="12"/>
    <n v="4404"/>
    <n v="396.36"/>
    <n v="1101"/>
    <x v="1"/>
  </r>
  <r>
    <x v="3"/>
    <x v="2"/>
    <x v="4"/>
    <x v="0"/>
    <n v="386"/>
    <n v="3"/>
    <n v="12"/>
    <n v="4632"/>
    <n v="463.2"/>
    <n v="1158"/>
    <x v="1"/>
  </r>
  <r>
    <x v="3"/>
    <x v="2"/>
    <x v="2"/>
    <x v="0"/>
    <n v="386"/>
    <n v="10"/>
    <n v="12"/>
    <n v="4632"/>
    <n v="463.2"/>
    <n v="1158"/>
    <x v="1"/>
  </r>
  <r>
    <x v="3"/>
    <x v="3"/>
    <x v="0"/>
    <x v="0"/>
    <n v="410"/>
    <n v="260"/>
    <n v="12"/>
    <n v="4920"/>
    <n v="639.6"/>
    <n v="1230"/>
    <x v="3"/>
  </r>
  <r>
    <x v="3"/>
    <x v="3"/>
    <x v="1"/>
    <x v="0"/>
    <n v="410"/>
    <n v="120"/>
    <n v="12"/>
    <n v="4920"/>
    <n v="639.6"/>
    <n v="1230"/>
    <x v="3"/>
  </r>
  <r>
    <x v="1"/>
    <x v="4"/>
    <x v="2"/>
    <x v="0"/>
    <n v="723"/>
    <n v="10"/>
    <n v="7"/>
    <n v="5061"/>
    <n v="759.15000000000009"/>
    <n v="3615"/>
    <x v="15"/>
  </r>
  <r>
    <x v="1"/>
    <x v="2"/>
    <x v="2"/>
    <x v="1"/>
    <n v="678"/>
    <n v="10"/>
    <n v="7"/>
    <n v="4746"/>
    <n v="379.68"/>
    <n v="3390"/>
    <x v="9"/>
  </r>
  <r>
    <x v="1"/>
    <x v="3"/>
    <x v="2"/>
    <x v="0"/>
    <n v="260"/>
    <n v="10"/>
    <n v="20"/>
    <n v="5200"/>
    <n v="728"/>
    <n v="2600"/>
    <x v="6"/>
  </r>
  <r>
    <x v="1"/>
    <x v="2"/>
    <x v="2"/>
    <x v="0"/>
    <n v="267"/>
    <n v="10"/>
    <n v="20"/>
    <n v="5340"/>
    <n v="801"/>
    <n v="2670"/>
    <x v="1"/>
  </r>
  <r>
    <x v="1"/>
    <x v="2"/>
    <x v="3"/>
    <x v="0"/>
    <n v="267"/>
    <n v="250"/>
    <n v="20"/>
    <n v="5340"/>
    <n v="801"/>
    <n v="2670"/>
    <x v="1"/>
  </r>
  <r>
    <x v="4"/>
    <x v="3"/>
    <x v="2"/>
    <x v="0"/>
    <n v="380"/>
    <n v="10"/>
    <n v="15"/>
    <n v="5700"/>
    <n v="684"/>
    <n v="3800"/>
    <x v="11"/>
  </r>
  <r>
    <x v="3"/>
    <x v="3"/>
    <x v="1"/>
    <x v="0"/>
    <n v="500"/>
    <n v="120"/>
    <n v="12"/>
    <n v="6000"/>
    <n v="900"/>
    <n v="1500"/>
    <x v="0"/>
  </r>
  <r>
    <x v="4"/>
    <x v="4"/>
    <x v="1"/>
    <x v="0"/>
    <n v="384"/>
    <n v="120"/>
    <n v="15"/>
    <n v="5760"/>
    <n v="633.59999999999991"/>
    <n v="3840"/>
    <x v="2"/>
  </r>
  <r>
    <x v="1"/>
    <x v="4"/>
    <x v="4"/>
    <x v="1"/>
    <n v="819"/>
    <n v="3"/>
    <n v="7"/>
    <n v="5733"/>
    <n v="515.97"/>
    <n v="4095"/>
    <x v="8"/>
  </r>
  <r>
    <x v="1"/>
    <x v="4"/>
    <x v="2"/>
    <x v="3"/>
    <n v="292"/>
    <n v="10"/>
    <n v="20"/>
    <n v="5840"/>
    <n v="0"/>
    <n v="2920"/>
    <x v="6"/>
  </r>
  <r>
    <x v="3"/>
    <x v="3"/>
    <x v="2"/>
    <x v="0"/>
    <n v="571"/>
    <n v="10"/>
    <n v="12"/>
    <n v="6852"/>
    <n v="890.76"/>
    <n v="1713"/>
    <x v="8"/>
  </r>
  <r>
    <x v="1"/>
    <x v="3"/>
    <x v="2"/>
    <x v="3"/>
    <n v="883"/>
    <n v="10"/>
    <n v="7"/>
    <n v="6181"/>
    <n v="0"/>
    <n v="4415"/>
    <x v="9"/>
  </r>
  <r>
    <x v="3"/>
    <x v="3"/>
    <x v="4"/>
    <x v="1"/>
    <n v="562"/>
    <n v="3"/>
    <n v="12"/>
    <n v="6744"/>
    <n v="404.64"/>
    <n v="1686"/>
    <x v="5"/>
  </r>
  <r>
    <x v="1"/>
    <x v="0"/>
    <x v="2"/>
    <x v="1"/>
    <n v="1031"/>
    <n v="10"/>
    <n v="7"/>
    <n v="7217"/>
    <n v="505.19"/>
    <n v="5155"/>
    <x v="13"/>
  </r>
  <r>
    <x v="4"/>
    <x v="0"/>
    <x v="4"/>
    <x v="1"/>
    <n v="490"/>
    <n v="3"/>
    <n v="15"/>
    <n v="7350"/>
    <n v="588"/>
    <n v="4900"/>
    <x v="14"/>
  </r>
  <r>
    <x v="1"/>
    <x v="0"/>
    <x v="2"/>
    <x v="2"/>
    <n v="1030"/>
    <n v="10"/>
    <n v="7"/>
    <n v="7210"/>
    <n v="72.099999999999994"/>
    <n v="5150"/>
    <x v="12"/>
  </r>
  <r>
    <x v="1"/>
    <x v="0"/>
    <x v="0"/>
    <x v="0"/>
    <n v="1190"/>
    <n v="260"/>
    <n v="7"/>
    <n v="8330"/>
    <n v="1082.9000000000001"/>
    <n v="5950"/>
    <x v="10"/>
  </r>
  <r>
    <x v="1"/>
    <x v="0"/>
    <x v="1"/>
    <x v="0"/>
    <n v="1190"/>
    <n v="120"/>
    <n v="7"/>
    <n v="8330"/>
    <n v="1082.9000000000001"/>
    <n v="5950"/>
    <x v="10"/>
  </r>
  <r>
    <x v="4"/>
    <x v="0"/>
    <x v="2"/>
    <x v="3"/>
    <n v="549"/>
    <n v="10"/>
    <n v="15"/>
    <n v="8235"/>
    <n v="0"/>
    <n v="5490"/>
    <x v="13"/>
  </r>
  <r>
    <x v="1"/>
    <x v="0"/>
    <x v="3"/>
    <x v="0"/>
    <n v="1491"/>
    <n v="250"/>
    <n v="7"/>
    <n v="10437"/>
    <n v="1252.44"/>
    <n v="7455"/>
    <x v="0"/>
  </r>
  <r>
    <x v="1"/>
    <x v="0"/>
    <x v="0"/>
    <x v="1"/>
    <n v="1403"/>
    <n v="260"/>
    <n v="7"/>
    <n v="9821"/>
    <n v="589.26"/>
    <n v="7015"/>
    <x v="1"/>
  </r>
  <r>
    <x v="1"/>
    <x v="0"/>
    <x v="5"/>
    <x v="1"/>
    <n v="1403"/>
    <n v="5"/>
    <n v="7"/>
    <n v="9821"/>
    <n v="589.26"/>
    <n v="7015"/>
    <x v="1"/>
  </r>
  <r>
    <x v="3"/>
    <x v="0"/>
    <x v="3"/>
    <x v="2"/>
    <n v="866"/>
    <n v="250"/>
    <n v="12"/>
    <n v="10392"/>
    <n v="415.68"/>
    <n v="2598"/>
    <x v="12"/>
  </r>
  <r>
    <x v="1"/>
    <x v="0"/>
    <x v="0"/>
    <x v="0"/>
    <n v="1731"/>
    <n v="260"/>
    <n v="7"/>
    <n v="12117"/>
    <n v="1696.38"/>
    <n v="8655"/>
    <x v="3"/>
  </r>
  <r>
    <x v="1"/>
    <x v="0"/>
    <x v="2"/>
    <x v="0"/>
    <n v="1731"/>
    <n v="10"/>
    <n v="7"/>
    <n v="12117"/>
    <n v="1696.38"/>
    <n v="8655"/>
    <x v="3"/>
  </r>
  <r>
    <x v="3"/>
    <x v="0"/>
    <x v="2"/>
    <x v="2"/>
    <n v="1055"/>
    <n v="10"/>
    <n v="12"/>
    <n v="12660"/>
    <n v="253.2"/>
    <n v="3165"/>
    <x v="4"/>
  </r>
  <r>
    <x v="3"/>
    <x v="0"/>
    <x v="1"/>
    <x v="2"/>
    <n v="1055"/>
    <n v="120"/>
    <n v="12"/>
    <n v="12660"/>
    <n v="253.2"/>
    <n v="3165"/>
    <x v="4"/>
  </r>
  <r>
    <x v="3"/>
    <x v="0"/>
    <x v="4"/>
    <x v="0"/>
    <n v="1198"/>
    <n v="3"/>
    <n v="12"/>
    <n v="14376"/>
    <n v="1581.36"/>
    <n v="3594"/>
    <x v="1"/>
  </r>
  <r>
    <x v="3"/>
    <x v="0"/>
    <x v="2"/>
    <x v="0"/>
    <n v="1198"/>
    <n v="10"/>
    <n v="12"/>
    <n v="14376"/>
    <n v="1581.36"/>
    <n v="3594"/>
    <x v="1"/>
  </r>
  <r>
    <x v="1"/>
    <x v="0"/>
    <x v="2"/>
    <x v="1"/>
    <n v="2136"/>
    <n v="10"/>
    <n v="7"/>
    <n v="14952"/>
    <n v="747.6"/>
    <n v="10680"/>
    <x v="11"/>
  </r>
  <r>
    <x v="3"/>
    <x v="0"/>
    <x v="0"/>
    <x v="0"/>
    <n v="1393"/>
    <n v="260"/>
    <n v="12"/>
    <n v="16716"/>
    <n v="2340.2399999999998"/>
    <n v="4179"/>
    <x v="3"/>
  </r>
  <r>
    <x v="3"/>
    <x v="0"/>
    <x v="2"/>
    <x v="0"/>
    <n v="1393"/>
    <n v="10"/>
    <n v="12"/>
    <n v="16716"/>
    <n v="2340.2399999999998"/>
    <n v="4179"/>
    <x v="3"/>
  </r>
  <r>
    <x v="1"/>
    <x v="0"/>
    <x v="4"/>
    <x v="2"/>
    <n v="2145"/>
    <n v="3"/>
    <n v="7"/>
    <n v="15015"/>
    <n v="300.3"/>
    <n v="10725"/>
    <x v="7"/>
  </r>
  <r>
    <x v="1"/>
    <x v="0"/>
    <x v="2"/>
    <x v="0"/>
    <n v="2532"/>
    <n v="10"/>
    <n v="7"/>
    <n v="17724"/>
    <n v="1949.6399999999999"/>
    <n v="12660"/>
    <x v="15"/>
  </r>
  <r>
    <x v="1"/>
    <x v="0"/>
    <x v="2"/>
    <x v="0"/>
    <n v="2696"/>
    <n v="10"/>
    <n v="7"/>
    <n v="18872"/>
    <n v="2453.36"/>
    <n v="13480"/>
    <x v="9"/>
  </r>
  <r>
    <x v="1"/>
    <x v="0"/>
    <x v="4"/>
    <x v="1"/>
    <n v="2487"/>
    <n v="3"/>
    <n v="7"/>
    <n v="17409"/>
    <n v="870.45"/>
    <n v="12435"/>
    <x v="4"/>
  </r>
  <r>
    <x v="1"/>
    <x v="0"/>
    <x v="3"/>
    <x v="1"/>
    <n v="2487"/>
    <n v="250"/>
    <n v="7"/>
    <n v="17409"/>
    <n v="870.45"/>
    <n v="12435"/>
    <x v="4"/>
  </r>
  <r>
    <x v="4"/>
    <x v="0"/>
    <x v="2"/>
    <x v="1"/>
    <n v="1227"/>
    <n v="10"/>
    <n v="15"/>
    <n v="18405"/>
    <n v="1656.45"/>
    <n v="12270"/>
    <x v="3"/>
  </r>
  <r>
    <x v="4"/>
    <x v="0"/>
    <x v="3"/>
    <x v="1"/>
    <n v="1227"/>
    <n v="250"/>
    <n v="15"/>
    <n v="18405"/>
    <n v="1656.45"/>
    <n v="12270"/>
    <x v="3"/>
  </r>
  <r>
    <x v="1"/>
    <x v="0"/>
    <x v="0"/>
    <x v="2"/>
    <n v="941"/>
    <n v="260"/>
    <n v="20"/>
    <n v="18820"/>
    <n v="376.4"/>
    <n v="9410"/>
    <x v="14"/>
  </r>
  <r>
    <x v="3"/>
    <x v="0"/>
    <x v="3"/>
    <x v="0"/>
    <n v="1734"/>
    <n v="250"/>
    <n v="12"/>
    <n v="20808"/>
    <n v="2288.88"/>
    <n v="5202"/>
    <x v="2"/>
  </r>
  <r>
    <x v="3"/>
    <x v="0"/>
    <x v="3"/>
    <x v="1"/>
    <n v="1738.5"/>
    <n v="250"/>
    <n v="12"/>
    <n v="20862"/>
    <n v="1460.34"/>
    <n v="5215.5"/>
    <x v="15"/>
  </r>
  <r>
    <x v="1"/>
    <x v="0"/>
    <x v="1"/>
    <x v="1"/>
    <n v="1033"/>
    <n v="120"/>
    <n v="20"/>
    <n v="20660"/>
    <n v="1033"/>
    <n v="10330"/>
    <x v="11"/>
  </r>
  <r>
    <x v="3"/>
    <x v="0"/>
    <x v="2"/>
    <x v="2"/>
    <n v="1785"/>
    <n v="10"/>
    <n v="12"/>
    <n v="21420"/>
    <n v="428.4"/>
    <n v="5355"/>
    <x v="7"/>
  </r>
  <r>
    <x v="1"/>
    <x v="0"/>
    <x v="0"/>
    <x v="0"/>
    <n v="3421.5"/>
    <n v="260"/>
    <n v="7"/>
    <n v="23950.5"/>
    <n v="2874.06"/>
    <n v="17107.5"/>
    <x v="8"/>
  </r>
  <r>
    <x v="3"/>
    <x v="0"/>
    <x v="4"/>
    <x v="1"/>
    <n v="1865"/>
    <n v="3"/>
    <n v="12"/>
    <n v="22380"/>
    <n v="1119"/>
    <n v="5595"/>
    <x v="6"/>
  </r>
  <r>
    <x v="3"/>
    <x v="0"/>
    <x v="1"/>
    <x v="1"/>
    <n v="1967"/>
    <n v="120"/>
    <n v="12"/>
    <n v="23604"/>
    <n v="2124.36"/>
    <n v="5901"/>
    <x v="0"/>
  </r>
  <r>
    <x v="3"/>
    <x v="0"/>
    <x v="5"/>
    <x v="2"/>
    <n v="1901"/>
    <n v="5"/>
    <n v="12"/>
    <n v="22812"/>
    <n v="684.36"/>
    <n v="5703"/>
    <x v="10"/>
  </r>
  <r>
    <x v="3"/>
    <x v="0"/>
    <x v="2"/>
    <x v="2"/>
    <n v="1901"/>
    <n v="10"/>
    <n v="12"/>
    <n v="22812"/>
    <n v="684.36"/>
    <n v="5703"/>
    <x v="10"/>
  </r>
  <r>
    <x v="3"/>
    <x v="0"/>
    <x v="3"/>
    <x v="1"/>
    <n v="2234"/>
    <n v="250"/>
    <n v="12"/>
    <n v="26808"/>
    <n v="2412.7199999999998"/>
    <n v="6702"/>
    <x v="13"/>
  </r>
  <r>
    <x v="1"/>
    <x v="0"/>
    <x v="2"/>
    <x v="1"/>
    <n v="1303"/>
    <n v="10"/>
    <n v="20"/>
    <n v="26060"/>
    <n v="1303"/>
    <n v="13030"/>
    <x v="6"/>
  </r>
  <r>
    <x v="3"/>
    <x v="0"/>
    <x v="0"/>
    <x v="0"/>
    <n v="2475"/>
    <n v="260"/>
    <n v="12"/>
    <n v="29700"/>
    <n v="4158"/>
    <n v="7425"/>
    <x v="9"/>
  </r>
  <r>
    <x v="3"/>
    <x v="0"/>
    <x v="2"/>
    <x v="0"/>
    <n v="2425.5"/>
    <n v="10"/>
    <n v="12"/>
    <n v="29106"/>
    <n v="3201.66"/>
    <n v="7276.5"/>
    <x v="8"/>
  </r>
  <r>
    <x v="3"/>
    <x v="0"/>
    <x v="5"/>
    <x v="1"/>
    <n v="2342"/>
    <n v="5"/>
    <n v="12"/>
    <n v="28104"/>
    <n v="1967.28"/>
    <n v="7026"/>
    <x v="14"/>
  </r>
  <r>
    <x v="1"/>
    <x v="0"/>
    <x v="5"/>
    <x v="2"/>
    <n v="1375.5"/>
    <n v="5"/>
    <n v="20"/>
    <n v="27510"/>
    <n v="275.10000000000002"/>
    <n v="13755"/>
    <x v="8"/>
  </r>
  <r>
    <x v="1"/>
    <x v="0"/>
    <x v="2"/>
    <x v="2"/>
    <n v="3945"/>
    <n v="10"/>
    <n v="7"/>
    <n v="27615"/>
    <n v="276.14999999999998"/>
    <n v="19725"/>
    <x v="2"/>
  </r>
  <r>
    <x v="4"/>
    <x v="0"/>
    <x v="0"/>
    <x v="0"/>
    <n v="2072"/>
    <n v="260"/>
    <n v="15"/>
    <n v="31080"/>
    <n v="3108"/>
    <n v="20720"/>
    <x v="4"/>
  </r>
  <r>
    <x v="4"/>
    <x v="0"/>
    <x v="5"/>
    <x v="0"/>
    <n v="2072"/>
    <n v="5"/>
    <n v="15"/>
    <n v="31080"/>
    <n v="3108"/>
    <n v="20720"/>
    <x v="4"/>
  </r>
  <r>
    <x v="1"/>
    <x v="0"/>
    <x v="2"/>
    <x v="1"/>
    <n v="1535"/>
    <n v="10"/>
    <n v="20"/>
    <n v="30700"/>
    <n v="2149"/>
    <n v="15350"/>
    <x v="5"/>
  </r>
  <r>
    <x v="4"/>
    <x v="0"/>
    <x v="2"/>
    <x v="0"/>
    <n v="2167"/>
    <n v="10"/>
    <n v="15"/>
    <n v="32505"/>
    <n v="3250.5"/>
    <n v="21670"/>
    <x v="1"/>
  </r>
  <r>
    <x v="4"/>
    <x v="0"/>
    <x v="3"/>
    <x v="0"/>
    <n v="2167"/>
    <n v="250"/>
    <n v="15"/>
    <n v="32505"/>
    <n v="3250.5"/>
    <n v="21670"/>
    <x v="1"/>
  </r>
  <r>
    <x v="4"/>
    <x v="0"/>
    <x v="2"/>
    <x v="1"/>
    <n v="2101"/>
    <n v="10"/>
    <n v="15"/>
    <n v="31515"/>
    <n v="2206.0500000000002"/>
    <n v="21010"/>
    <x v="9"/>
  </r>
  <r>
    <x v="1"/>
    <x v="0"/>
    <x v="4"/>
    <x v="1"/>
    <n v="1563"/>
    <n v="3"/>
    <n v="20"/>
    <n v="31260"/>
    <n v="1563"/>
    <n v="15630"/>
    <x v="12"/>
  </r>
  <r>
    <x v="1"/>
    <x v="0"/>
    <x v="1"/>
    <x v="1"/>
    <n v="1579"/>
    <n v="120"/>
    <n v="20"/>
    <n v="31580"/>
    <n v="1579"/>
    <n v="15790"/>
    <x v="9"/>
  </r>
  <r>
    <x v="3"/>
    <x v="0"/>
    <x v="4"/>
    <x v="2"/>
    <n v="2671"/>
    <n v="3"/>
    <n v="12"/>
    <n v="32052"/>
    <n v="320.52"/>
    <n v="8013"/>
    <x v="5"/>
  </r>
  <r>
    <x v="4"/>
    <x v="0"/>
    <x v="2"/>
    <x v="2"/>
    <n v="2261"/>
    <n v="10"/>
    <n v="15"/>
    <n v="33915"/>
    <n v="1356.6"/>
    <n v="22610"/>
    <x v="11"/>
  </r>
  <r>
    <x v="4"/>
    <x v="0"/>
    <x v="4"/>
    <x v="3"/>
    <n v="2178"/>
    <n v="3"/>
    <n v="15"/>
    <n v="32670"/>
    <n v="0"/>
    <n v="21780"/>
    <x v="10"/>
  </r>
  <r>
    <x v="4"/>
    <x v="0"/>
    <x v="3"/>
    <x v="3"/>
    <n v="2178"/>
    <n v="250"/>
    <n v="15"/>
    <n v="32670"/>
    <n v="0"/>
    <n v="21780"/>
    <x v="10"/>
  </r>
  <r>
    <x v="1"/>
    <x v="0"/>
    <x v="5"/>
    <x v="1"/>
    <n v="1757"/>
    <n v="5"/>
    <n v="20"/>
    <n v="35140"/>
    <n v="2108.4"/>
    <n v="17570"/>
    <x v="1"/>
  </r>
  <r>
    <x v="1"/>
    <x v="0"/>
    <x v="2"/>
    <x v="1"/>
    <n v="1757"/>
    <n v="10"/>
    <n v="20"/>
    <n v="35140"/>
    <n v="2108.4"/>
    <n v="17570"/>
    <x v="1"/>
  </r>
  <r>
    <x v="4"/>
    <x v="0"/>
    <x v="2"/>
    <x v="2"/>
    <n v="2296"/>
    <n v="10"/>
    <n v="15"/>
    <n v="34440"/>
    <n v="344.4"/>
    <n v="22960"/>
    <x v="6"/>
  </r>
  <r>
    <x v="4"/>
    <x v="0"/>
    <x v="5"/>
    <x v="1"/>
    <n v="2501"/>
    <n v="5"/>
    <n v="15"/>
    <n v="37515"/>
    <n v="3001.2"/>
    <n v="25010"/>
    <x v="0"/>
  </r>
  <r>
    <x v="1"/>
    <x v="0"/>
    <x v="2"/>
    <x v="0"/>
    <n v="1954"/>
    <n v="10"/>
    <n v="20"/>
    <n v="39080"/>
    <n v="3908"/>
    <n v="19540"/>
    <x v="0"/>
  </r>
  <r>
    <x v="4"/>
    <x v="0"/>
    <x v="1"/>
    <x v="0"/>
    <n v="2826"/>
    <n v="120"/>
    <n v="15"/>
    <n v="42390"/>
    <n v="6358.5"/>
    <n v="28260"/>
    <x v="12"/>
  </r>
  <r>
    <x v="1"/>
    <x v="0"/>
    <x v="5"/>
    <x v="1"/>
    <n v="1976"/>
    <n v="5"/>
    <n v="20"/>
    <n v="39520"/>
    <n v="2766.4"/>
    <n v="19760"/>
    <x v="3"/>
  </r>
  <r>
    <x v="1"/>
    <x v="0"/>
    <x v="1"/>
    <x v="1"/>
    <n v="1976"/>
    <n v="120"/>
    <n v="20"/>
    <n v="39520"/>
    <n v="2766.4"/>
    <n v="19760"/>
    <x v="3"/>
  </r>
  <r>
    <x v="4"/>
    <x v="0"/>
    <x v="2"/>
    <x v="1"/>
    <n v="2620"/>
    <n v="10"/>
    <n v="15"/>
    <n v="39300"/>
    <n v="1965"/>
    <n v="26200"/>
    <x v="5"/>
  </r>
  <r>
    <x v="1"/>
    <x v="0"/>
    <x v="0"/>
    <x v="3"/>
    <n v="1899"/>
    <n v="260"/>
    <n v="20"/>
    <n v="37980"/>
    <n v="0"/>
    <n v="18990"/>
    <x v="10"/>
  </r>
  <r>
    <x v="1"/>
    <x v="0"/>
    <x v="5"/>
    <x v="3"/>
    <n v="1899"/>
    <n v="5"/>
    <n v="20"/>
    <n v="37980"/>
    <n v="0"/>
    <n v="18990"/>
    <x v="10"/>
  </r>
  <r>
    <x v="1"/>
    <x v="0"/>
    <x v="4"/>
    <x v="0"/>
    <n v="2521.5"/>
    <n v="3"/>
    <n v="20"/>
    <n v="50430"/>
    <n v="6051.6"/>
    <n v="25215"/>
    <x v="2"/>
  </r>
  <r>
    <x v="1"/>
    <x v="0"/>
    <x v="3"/>
    <x v="1"/>
    <n v="2682"/>
    <n v="250"/>
    <n v="20"/>
    <n v="53640"/>
    <n v="4827.6000000000004"/>
    <n v="26820"/>
    <x v="7"/>
  </r>
  <r>
    <x v="1"/>
    <x v="0"/>
    <x v="1"/>
    <x v="0"/>
    <n v="2805"/>
    <n v="120"/>
    <n v="20"/>
    <n v="56100"/>
    <n v="6171"/>
    <n v="28050"/>
    <x v="13"/>
  </r>
  <r>
    <x v="4"/>
    <x v="0"/>
    <x v="3"/>
    <x v="0"/>
    <n v="3874.5"/>
    <n v="250"/>
    <n v="15"/>
    <n v="58117.5"/>
    <n v="6974.0999999999995"/>
    <n v="38745"/>
    <x v="8"/>
  </r>
  <r>
    <x v="4"/>
    <x v="0"/>
    <x v="1"/>
    <x v="0"/>
    <n v="3997.5"/>
    <n v="120"/>
    <n v="15"/>
    <n v="59962.5"/>
    <n v="7795.125"/>
    <n v="39975"/>
    <x v="2"/>
  </r>
  <r>
    <x v="4"/>
    <x v="0"/>
    <x v="2"/>
    <x v="1"/>
    <n v="3801"/>
    <n v="10"/>
    <n v="15"/>
    <n v="57015"/>
    <n v="3420.8999999999996"/>
    <n v="38010"/>
    <x v="15"/>
  </r>
  <r>
    <x v="2"/>
    <x v="0"/>
    <x v="1"/>
    <x v="0"/>
    <n v="663"/>
    <n v="120"/>
    <n v="125"/>
    <n v="82875"/>
    <n v="12431.25"/>
    <n v="79560"/>
    <x v="5"/>
  </r>
  <r>
    <x v="1"/>
    <x v="0"/>
    <x v="1"/>
    <x v="2"/>
    <n v="3864"/>
    <n v="120"/>
    <n v="20"/>
    <n v="77280"/>
    <n v="772.80000000000007"/>
    <n v="38640"/>
    <x v="15"/>
  </r>
  <r>
    <x v="2"/>
    <x v="0"/>
    <x v="2"/>
    <x v="1"/>
    <n v="704"/>
    <n v="10"/>
    <n v="125"/>
    <n v="88000"/>
    <n v="4400"/>
    <n v="84480"/>
    <x v="1"/>
  </r>
  <r>
    <x v="2"/>
    <x v="0"/>
    <x v="1"/>
    <x v="1"/>
    <n v="704"/>
    <n v="120"/>
    <n v="125"/>
    <n v="88000"/>
    <n v="4400"/>
    <n v="84480"/>
    <x v="1"/>
  </r>
  <r>
    <x v="0"/>
    <x v="0"/>
    <x v="5"/>
    <x v="1"/>
    <n v="322"/>
    <n v="5"/>
    <n v="300"/>
    <n v="96600"/>
    <n v="8694"/>
    <n v="80500"/>
    <x v="13"/>
  </r>
  <r>
    <x v="2"/>
    <x v="0"/>
    <x v="2"/>
    <x v="2"/>
    <n v="787"/>
    <n v="10"/>
    <n v="125"/>
    <n v="98375"/>
    <n v="983.75"/>
    <n v="94440"/>
    <x v="10"/>
  </r>
  <r>
    <x v="2"/>
    <x v="0"/>
    <x v="3"/>
    <x v="2"/>
    <n v="787"/>
    <n v="250"/>
    <n v="125"/>
    <n v="98375"/>
    <n v="983.75"/>
    <n v="94440"/>
    <x v="10"/>
  </r>
  <r>
    <x v="0"/>
    <x v="0"/>
    <x v="1"/>
    <x v="1"/>
    <n v="386"/>
    <n v="120"/>
    <n v="300"/>
    <n v="115800"/>
    <n v="9264"/>
    <n v="96500"/>
    <x v="7"/>
  </r>
  <r>
    <x v="2"/>
    <x v="0"/>
    <x v="4"/>
    <x v="0"/>
    <n v="1023"/>
    <n v="3"/>
    <n v="125"/>
    <n v="127875"/>
    <n v="17902.5"/>
    <n v="122760"/>
    <x v="13"/>
  </r>
  <r>
    <x v="1"/>
    <x v="0"/>
    <x v="3"/>
    <x v="1"/>
    <n v="381"/>
    <n v="250"/>
    <n v="350"/>
    <n v="133350"/>
    <n v="10668"/>
    <n v="99060"/>
    <x v="9"/>
  </r>
  <r>
    <x v="2"/>
    <x v="0"/>
    <x v="4"/>
    <x v="0"/>
    <n v="1174"/>
    <n v="3"/>
    <n v="125"/>
    <n v="146750"/>
    <n v="22012.5"/>
    <n v="140880"/>
    <x v="9"/>
  </r>
  <r>
    <x v="0"/>
    <x v="0"/>
    <x v="4"/>
    <x v="1"/>
    <n v="448"/>
    <n v="3"/>
    <n v="300"/>
    <n v="134400"/>
    <n v="9408"/>
    <n v="112000"/>
    <x v="10"/>
  </r>
  <r>
    <x v="0"/>
    <x v="0"/>
    <x v="2"/>
    <x v="1"/>
    <n v="448"/>
    <n v="10"/>
    <n v="300"/>
    <n v="134400"/>
    <n v="9408"/>
    <n v="112000"/>
    <x v="10"/>
  </r>
  <r>
    <x v="2"/>
    <x v="0"/>
    <x v="5"/>
    <x v="2"/>
    <n v="1287"/>
    <n v="5"/>
    <n v="125"/>
    <n v="160875"/>
    <n v="4826.25"/>
    <n v="154440"/>
    <x v="4"/>
  </r>
  <r>
    <x v="2"/>
    <x v="0"/>
    <x v="2"/>
    <x v="2"/>
    <n v="1287"/>
    <n v="10"/>
    <n v="125"/>
    <n v="160875"/>
    <n v="4826.25"/>
    <n v="154440"/>
    <x v="4"/>
  </r>
  <r>
    <x v="2"/>
    <x v="0"/>
    <x v="0"/>
    <x v="0"/>
    <n v="1433"/>
    <n v="260"/>
    <n v="125"/>
    <n v="179125"/>
    <n v="19703.75"/>
    <n v="171960"/>
    <x v="12"/>
  </r>
  <r>
    <x v="4"/>
    <x v="1"/>
    <x v="3"/>
    <x v="0"/>
    <n v="492"/>
    <n v="250"/>
    <n v="15"/>
    <n v="7380"/>
    <n v="1107"/>
    <n v="4920"/>
    <x v="8"/>
  </r>
  <r>
    <x v="1"/>
    <x v="1"/>
    <x v="4"/>
    <x v="1"/>
    <n v="1016"/>
    <n v="3"/>
    <n v="7"/>
    <n v="7112"/>
    <n v="355.6"/>
    <n v="5080"/>
    <x v="7"/>
  </r>
  <r>
    <x v="4"/>
    <x v="1"/>
    <x v="1"/>
    <x v="0"/>
    <n v="510"/>
    <n v="120"/>
    <n v="15"/>
    <n v="7650"/>
    <n v="765"/>
    <n v="5100"/>
    <x v="15"/>
  </r>
  <r>
    <x v="1"/>
    <x v="1"/>
    <x v="2"/>
    <x v="1"/>
    <n v="1095"/>
    <n v="10"/>
    <n v="7"/>
    <n v="7665"/>
    <n v="613.20000000000005"/>
    <n v="5475"/>
    <x v="12"/>
  </r>
  <r>
    <x v="1"/>
    <x v="1"/>
    <x v="4"/>
    <x v="0"/>
    <n v="442"/>
    <n v="3"/>
    <n v="20"/>
    <n v="8840"/>
    <n v="1149.2"/>
    <n v="4420"/>
    <x v="13"/>
  </r>
  <r>
    <x v="1"/>
    <x v="1"/>
    <x v="0"/>
    <x v="1"/>
    <n v="1159"/>
    <n v="260"/>
    <n v="7"/>
    <n v="8113"/>
    <n v="405.65"/>
    <n v="5795"/>
    <x v="1"/>
  </r>
  <r>
    <x v="1"/>
    <x v="1"/>
    <x v="5"/>
    <x v="1"/>
    <n v="1159"/>
    <n v="5"/>
    <n v="7"/>
    <n v="8113"/>
    <n v="405.65"/>
    <n v="5795"/>
    <x v="1"/>
  </r>
  <r>
    <x v="1"/>
    <x v="1"/>
    <x v="2"/>
    <x v="1"/>
    <n v="1259"/>
    <n v="10"/>
    <n v="7"/>
    <n v="8813"/>
    <n v="705.04"/>
    <n v="6295"/>
    <x v="15"/>
  </r>
  <r>
    <x v="4"/>
    <x v="1"/>
    <x v="1"/>
    <x v="0"/>
    <n v="660"/>
    <n v="120"/>
    <n v="15"/>
    <n v="9900"/>
    <n v="1287"/>
    <n v="6600"/>
    <x v="13"/>
  </r>
  <r>
    <x v="3"/>
    <x v="1"/>
    <x v="4"/>
    <x v="2"/>
    <n v="766"/>
    <n v="3"/>
    <n v="12"/>
    <n v="9192"/>
    <n v="91.92"/>
    <n v="2298"/>
    <x v="1"/>
  </r>
  <r>
    <x v="3"/>
    <x v="1"/>
    <x v="2"/>
    <x v="2"/>
    <n v="766"/>
    <n v="10"/>
    <n v="12"/>
    <n v="9192"/>
    <n v="91.92"/>
    <n v="2298"/>
    <x v="1"/>
  </r>
  <r>
    <x v="1"/>
    <x v="1"/>
    <x v="2"/>
    <x v="1"/>
    <n v="1372"/>
    <n v="10"/>
    <n v="7"/>
    <n v="9604"/>
    <n v="480.2"/>
    <n v="6860"/>
    <x v="2"/>
  </r>
  <r>
    <x v="4"/>
    <x v="1"/>
    <x v="1"/>
    <x v="0"/>
    <n v="681"/>
    <n v="120"/>
    <n v="15"/>
    <n v="10215"/>
    <n v="1021.5"/>
    <n v="6810"/>
    <x v="2"/>
  </r>
  <r>
    <x v="3"/>
    <x v="1"/>
    <x v="3"/>
    <x v="1"/>
    <n v="880"/>
    <n v="250"/>
    <n v="12"/>
    <n v="10560"/>
    <n v="950.4"/>
    <n v="2640"/>
    <x v="12"/>
  </r>
  <r>
    <x v="4"/>
    <x v="1"/>
    <x v="0"/>
    <x v="1"/>
    <n v="711"/>
    <n v="260"/>
    <n v="15"/>
    <n v="10665"/>
    <n v="853.2"/>
    <n v="7110"/>
    <x v="4"/>
  </r>
  <r>
    <x v="4"/>
    <x v="1"/>
    <x v="5"/>
    <x v="1"/>
    <n v="711"/>
    <n v="5"/>
    <n v="15"/>
    <n v="10665"/>
    <n v="853.2"/>
    <n v="7110"/>
    <x v="4"/>
  </r>
  <r>
    <x v="1"/>
    <x v="1"/>
    <x v="2"/>
    <x v="1"/>
    <n v="1598"/>
    <n v="10"/>
    <n v="7"/>
    <n v="11186"/>
    <n v="894.88"/>
    <n v="7990"/>
    <x v="9"/>
  </r>
  <r>
    <x v="3"/>
    <x v="1"/>
    <x v="2"/>
    <x v="0"/>
    <n v="1013"/>
    <n v="10"/>
    <n v="12"/>
    <n v="12156"/>
    <n v="1580.28"/>
    <n v="3039"/>
    <x v="4"/>
  </r>
  <r>
    <x v="3"/>
    <x v="1"/>
    <x v="1"/>
    <x v="0"/>
    <n v="1013"/>
    <n v="120"/>
    <n v="12"/>
    <n v="12156"/>
    <n v="1580.28"/>
    <n v="3039"/>
    <x v="4"/>
  </r>
  <r>
    <x v="1"/>
    <x v="1"/>
    <x v="1"/>
    <x v="1"/>
    <n v="588"/>
    <n v="120"/>
    <n v="20"/>
    <n v="11760"/>
    <n v="823.2"/>
    <n v="5880"/>
    <x v="11"/>
  </r>
  <r>
    <x v="4"/>
    <x v="1"/>
    <x v="2"/>
    <x v="2"/>
    <n v="747"/>
    <n v="10"/>
    <n v="15"/>
    <n v="11205"/>
    <n v="112.05"/>
    <n v="7470"/>
    <x v="5"/>
  </r>
  <r>
    <x v="1"/>
    <x v="1"/>
    <x v="0"/>
    <x v="3"/>
    <n v="1686"/>
    <n v="260"/>
    <n v="7"/>
    <n v="11802"/>
    <n v="0"/>
    <n v="8430"/>
    <x v="8"/>
  </r>
  <r>
    <x v="1"/>
    <x v="1"/>
    <x v="5"/>
    <x v="1"/>
    <n v="645"/>
    <n v="5"/>
    <n v="20"/>
    <n v="12900"/>
    <n v="1032"/>
    <n v="6450"/>
    <x v="8"/>
  </r>
  <r>
    <x v="1"/>
    <x v="1"/>
    <x v="4"/>
    <x v="1"/>
    <n v="663"/>
    <n v="3"/>
    <n v="20"/>
    <n v="13260"/>
    <n v="1193.4000000000001"/>
    <n v="6630"/>
    <x v="12"/>
  </r>
  <r>
    <x v="3"/>
    <x v="1"/>
    <x v="4"/>
    <x v="1"/>
    <n v="1116"/>
    <n v="3"/>
    <n v="12"/>
    <n v="13392"/>
    <n v="669.6"/>
    <n v="3348"/>
    <x v="6"/>
  </r>
  <r>
    <x v="4"/>
    <x v="1"/>
    <x v="0"/>
    <x v="1"/>
    <n v="970"/>
    <n v="260"/>
    <n v="15"/>
    <n v="14550"/>
    <n v="1309.5"/>
    <n v="9700"/>
    <x v="7"/>
  </r>
  <r>
    <x v="1"/>
    <x v="1"/>
    <x v="5"/>
    <x v="2"/>
    <n v="1958"/>
    <n v="5"/>
    <n v="7"/>
    <n v="13706"/>
    <n v="411.18"/>
    <n v="9790"/>
    <x v="6"/>
  </r>
  <r>
    <x v="4"/>
    <x v="1"/>
    <x v="4"/>
    <x v="3"/>
    <n v="888"/>
    <n v="3"/>
    <n v="15"/>
    <n v="13320"/>
    <n v="0"/>
    <n v="8880"/>
    <x v="10"/>
  </r>
  <r>
    <x v="4"/>
    <x v="1"/>
    <x v="3"/>
    <x v="3"/>
    <n v="888"/>
    <n v="250"/>
    <n v="15"/>
    <n v="13320"/>
    <n v="0"/>
    <n v="8880"/>
    <x v="10"/>
  </r>
  <r>
    <x v="4"/>
    <x v="1"/>
    <x v="5"/>
    <x v="3"/>
    <n v="921"/>
    <n v="5"/>
    <n v="15"/>
    <n v="13815"/>
    <n v="0"/>
    <n v="9210"/>
    <x v="0"/>
  </r>
  <r>
    <x v="1"/>
    <x v="1"/>
    <x v="2"/>
    <x v="1"/>
    <n v="2125"/>
    <n v="10"/>
    <n v="7"/>
    <n v="14875"/>
    <n v="1041.25"/>
    <n v="10625"/>
    <x v="11"/>
  </r>
  <r>
    <x v="4"/>
    <x v="1"/>
    <x v="2"/>
    <x v="0"/>
    <n v="1175"/>
    <n v="10"/>
    <n v="15"/>
    <n v="17625"/>
    <n v="2643.75"/>
    <n v="11750"/>
    <x v="3"/>
  </r>
  <r>
    <x v="4"/>
    <x v="1"/>
    <x v="3"/>
    <x v="0"/>
    <n v="1175"/>
    <n v="250"/>
    <n v="15"/>
    <n v="17625"/>
    <n v="2643.75"/>
    <n v="11750"/>
    <x v="3"/>
  </r>
  <r>
    <x v="1"/>
    <x v="1"/>
    <x v="5"/>
    <x v="3"/>
    <n v="2146"/>
    <n v="5"/>
    <n v="7"/>
    <n v="15022"/>
    <n v="0"/>
    <n v="10730"/>
    <x v="5"/>
  </r>
  <r>
    <x v="1"/>
    <x v="1"/>
    <x v="1"/>
    <x v="1"/>
    <n v="2338"/>
    <n v="120"/>
    <n v="7"/>
    <n v="16366"/>
    <n v="1309.28"/>
    <n v="11690"/>
    <x v="10"/>
  </r>
  <r>
    <x v="1"/>
    <x v="1"/>
    <x v="3"/>
    <x v="1"/>
    <n v="2338"/>
    <n v="250"/>
    <n v="7"/>
    <n v="16366"/>
    <n v="1309.28"/>
    <n v="11690"/>
    <x v="10"/>
  </r>
  <r>
    <x v="1"/>
    <x v="1"/>
    <x v="2"/>
    <x v="1"/>
    <n v="2409"/>
    <n v="10"/>
    <n v="7"/>
    <n v="16863"/>
    <n v="1349.04"/>
    <n v="12045"/>
    <x v="13"/>
  </r>
  <r>
    <x v="1"/>
    <x v="1"/>
    <x v="1"/>
    <x v="0"/>
    <n v="2665"/>
    <n v="120"/>
    <n v="7"/>
    <n v="18655"/>
    <n v="1865.5"/>
    <n v="13325"/>
    <x v="14"/>
  </r>
  <r>
    <x v="3"/>
    <x v="1"/>
    <x v="4"/>
    <x v="1"/>
    <n v="1580"/>
    <n v="3"/>
    <n v="12"/>
    <n v="18960"/>
    <n v="1706.4"/>
    <n v="4740"/>
    <x v="5"/>
  </r>
  <r>
    <x v="3"/>
    <x v="1"/>
    <x v="0"/>
    <x v="0"/>
    <n v="1770"/>
    <n v="260"/>
    <n v="12"/>
    <n v="21240"/>
    <n v="2761.2"/>
    <n v="5310"/>
    <x v="11"/>
  </r>
  <r>
    <x v="3"/>
    <x v="1"/>
    <x v="5"/>
    <x v="3"/>
    <n v="1545"/>
    <n v="5"/>
    <n v="12"/>
    <n v="18540"/>
    <n v="0"/>
    <n v="4635"/>
    <x v="10"/>
  </r>
  <r>
    <x v="3"/>
    <x v="1"/>
    <x v="1"/>
    <x v="3"/>
    <n v="1545"/>
    <n v="120"/>
    <n v="12"/>
    <n v="18540"/>
    <n v="0"/>
    <n v="4635"/>
    <x v="10"/>
  </r>
  <r>
    <x v="1"/>
    <x v="1"/>
    <x v="1"/>
    <x v="1"/>
    <n v="1001"/>
    <n v="120"/>
    <n v="20"/>
    <n v="20020"/>
    <n v="1201.2"/>
    <n v="10010"/>
    <x v="9"/>
  </r>
  <r>
    <x v="3"/>
    <x v="1"/>
    <x v="2"/>
    <x v="1"/>
    <n v="1775"/>
    <n v="10"/>
    <n v="12"/>
    <n v="21300"/>
    <n v="1917"/>
    <n v="5325"/>
    <x v="7"/>
  </r>
  <r>
    <x v="4"/>
    <x v="1"/>
    <x v="4"/>
    <x v="0"/>
    <n v="1513"/>
    <n v="3"/>
    <n v="15"/>
    <n v="22695"/>
    <n v="3177.3"/>
    <n v="15130"/>
    <x v="14"/>
  </r>
  <r>
    <x v="1"/>
    <x v="1"/>
    <x v="2"/>
    <x v="0"/>
    <n v="1158"/>
    <n v="10"/>
    <n v="20"/>
    <n v="23160"/>
    <n v="3474"/>
    <n v="11580"/>
    <x v="0"/>
  </r>
  <r>
    <x v="4"/>
    <x v="1"/>
    <x v="1"/>
    <x v="1"/>
    <n v="1530"/>
    <n v="120"/>
    <n v="15"/>
    <n v="22950"/>
    <n v="1377"/>
    <n v="15300"/>
    <x v="12"/>
  </r>
  <r>
    <x v="4"/>
    <x v="1"/>
    <x v="2"/>
    <x v="1"/>
    <n v="1743"/>
    <n v="10"/>
    <n v="15"/>
    <n v="26145"/>
    <n v="1568.7"/>
    <n v="17430"/>
    <x v="9"/>
  </r>
  <r>
    <x v="3"/>
    <x v="1"/>
    <x v="3"/>
    <x v="1"/>
    <n v="2215"/>
    <n v="250"/>
    <n v="12"/>
    <n v="26580"/>
    <n v="1860.6"/>
    <n v="6645"/>
    <x v="13"/>
  </r>
  <r>
    <x v="1"/>
    <x v="1"/>
    <x v="0"/>
    <x v="1"/>
    <n v="1366"/>
    <n v="260"/>
    <n v="20"/>
    <n v="27320"/>
    <n v="2185.6"/>
    <n v="13660"/>
    <x v="10"/>
  </r>
  <r>
    <x v="1"/>
    <x v="1"/>
    <x v="2"/>
    <x v="1"/>
    <n v="1366"/>
    <n v="10"/>
    <n v="20"/>
    <n v="27320"/>
    <n v="2185.6"/>
    <n v="13660"/>
    <x v="10"/>
  </r>
  <r>
    <x v="3"/>
    <x v="1"/>
    <x v="1"/>
    <x v="3"/>
    <n v="2161"/>
    <n v="120"/>
    <n v="12"/>
    <n v="25932"/>
    <n v="0"/>
    <n v="6483"/>
    <x v="0"/>
  </r>
  <r>
    <x v="1"/>
    <x v="1"/>
    <x v="4"/>
    <x v="3"/>
    <n v="1321"/>
    <n v="3"/>
    <n v="20"/>
    <n v="26420"/>
    <n v="0"/>
    <n v="13210"/>
    <x v="2"/>
  </r>
  <r>
    <x v="3"/>
    <x v="1"/>
    <x v="5"/>
    <x v="1"/>
    <n v="2342"/>
    <n v="5"/>
    <n v="12"/>
    <n v="28104"/>
    <n v="1405.2"/>
    <n v="7026"/>
    <x v="14"/>
  </r>
  <r>
    <x v="1"/>
    <x v="1"/>
    <x v="2"/>
    <x v="0"/>
    <n v="1531"/>
    <n v="10"/>
    <n v="20"/>
    <n v="30620"/>
    <n v="3674.4"/>
    <n v="15310"/>
    <x v="4"/>
  </r>
  <r>
    <x v="1"/>
    <x v="1"/>
    <x v="3"/>
    <x v="0"/>
    <n v="1531"/>
    <n v="250"/>
    <n v="20"/>
    <n v="30620"/>
    <n v="3674.4"/>
    <n v="15310"/>
    <x v="4"/>
  </r>
  <r>
    <x v="3"/>
    <x v="1"/>
    <x v="0"/>
    <x v="0"/>
    <n v="2574"/>
    <n v="260"/>
    <n v="12"/>
    <n v="30888"/>
    <n v="3088.8"/>
    <n v="7722"/>
    <x v="9"/>
  </r>
  <r>
    <x v="1"/>
    <x v="1"/>
    <x v="0"/>
    <x v="1"/>
    <n v="1520"/>
    <n v="260"/>
    <n v="20"/>
    <n v="30400"/>
    <n v="2432"/>
    <n v="15200"/>
    <x v="14"/>
  </r>
  <r>
    <x v="4"/>
    <x v="1"/>
    <x v="2"/>
    <x v="2"/>
    <n v="1945"/>
    <n v="10"/>
    <n v="15"/>
    <n v="29175"/>
    <n v="875.25"/>
    <n v="19450"/>
    <x v="1"/>
  </r>
  <r>
    <x v="4"/>
    <x v="1"/>
    <x v="3"/>
    <x v="2"/>
    <n v="1945"/>
    <n v="250"/>
    <n v="15"/>
    <n v="29175"/>
    <n v="875.25"/>
    <n v="19450"/>
    <x v="1"/>
  </r>
  <r>
    <x v="3"/>
    <x v="1"/>
    <x v="3"/>
    <x v="2"/>
    <n v="2479"/>
    <n v="250"/>
    <n v="12"/>
    <n v="29748"/>
    <n v="892.44"/>
    <n v="7437"/>
    <x v="2"/>
  </r>
  <r>
    <x v="4"/>
    <x v="1"/>
    <x v="2"/>
    <x v="1"/>
    <n v="2116"/>
    <n v="10"/>
    <n v="15"/>
    <n v="31740"/>
    <n v="1587"/>
    <n v="21160"/>
    <x v="11"/>
  </r>
  <r>
    <x v="3"/>
    <x v="1"/>
    <x v="3"/>
    <x v="3"/>
    <n v="2838"/>
    <n v="250"/>
    <n v="12"/>
    <n v="34056"/>
    <n v="0"/>
    <n v="8514"/>
    <x v="15"/>
  </r>
  <r>
    <x v="1"/>
    <x v="1"/>
    <x v="2"/>
    <x v="1"/>
    <n v="1934"/>
    <n v="10"/>
    <n v="20"/>
    <n v="38680"/>
    <n v="3094.4"/>
    <n v="19340"/>
    <x v="5"/>
  </r>
  <r>
    <x v="1"/>
    <x v="1"/>
    <x v="3"/>
    <x v="1"/>
    <n v="2297"/>
    <n v="250"/>
    <n v="20"/>
    <n v="45940"/>
    <n v="2297"/>
    <n v="22970"/>
    <x v="7"/>
  </r>
  <r>
    <x v="1"/>
    <x v="1"/>
    <x v="2"/>
    <x v="0"/>
    <n v="2708"/>
    <n v="10"/>
    <n v="20"/>
    <n v="54160"/>
    <n v="7040.8"/>
    <n v="27080"/>
    <x v="6"/>
  </r>
  <r>
    <x v="1"/>
    <x v="1"/>
    <x v="4"/>
    <x v="2"/>
    <n v="2580"/>
    <n v="3"/>
    <n v="20"/>
    <n v="51600"/>
    <n v="1548"/>
    <n v="25800"/>
    <x v="15"/>
  </r>
  <r>
    <x v="1"/>
    <x v="1"/>
    <x v="5"/>
    <x v="0"/>
    <n v="2992"/>
    <n v="5"/>
    <n v="20"/>
    <n v="59840"/>
    <n v="6582.4"/>
    <n v="29920"/>
    <x v="1"/>
  </r>
  <r>
    <x v="1"/>
    <x v="1"/>
    <x v="2"/>
    <x v="0"/>
    <n v="2992"/>
    <n v="10"/>
    <n v="20"/>
    <n v="59840"/>
    <n v="6582.4"/>
    <n v="29920"/>
    <x v="1"/>
  </r>
  <r>
    <x v="2"/>
    <x v="1"/>
    <x v="3"/>
    <x v="0"/>
    <n v="552"/>
    <n v="250"/>
    <n v="125"/>
    <n v="69000"/>
    <n v="10350"/>
    <n v="66240"/>
    <x v="14"/>
  </r>
  <r>
    <x v="0"/>
    <x v="1"/>
    <x v="4"/>
    <x v="2"/>
    <n v="214"/>
    <n v="3"/>
    <n v="300"/>
    <n v="64200"/>
    <n v="1284"/>
    <n v="53500"/>
    <x v="1"/>
  </r>
  <r>
    <x v="0"/>
    <x v="1"/>
    <x v="3"/>
    <x v="2"/>
    <n v="214"/>
    <n v="250"/>
    <n v="300"/>
    <n v="64200"/>
    <n v="1284"/>
    <n v="53500"/>
    <x v="1"/>
  </r>
  <r>
    <x v="0"/>
    <x v="1"/>
    <x v="0"/>
    <x v="2"/>
    <n v="259"/>
    <n v="260"/>
    <n v="300"/>
    <n v="77700"/>
    <n v="1554"/>
    <n v="64750"/>
    <x v="0"/>
  </r>
  <r>
    <x v="0"/>
    <x v="1"/>
    <x v="5"/>
    <x v="1"/>
    <n v="334"/>
    <n v="5"/>
    <n v="300"/>
    <n v="100200"/>
    <n v="9018"/>
    <n v="83500"/>
    <x v="11"/>
  </r>
  <r>
    <x v="2"/>
    <x v="1"/>
    <x v="2"/>
    <x v="2"/>
    <n v="795"/>
    <n v="10"/>
    <n v="125"/>
    <n v="99375"/>
    <n v="3975"/>
    <n v="95400"/>
    <x v="0"/>
  </r>
  <r>
    <x v="2"/>
    <x v="1"/>
    <x v="1"/>
    <x v="1"/>
    <n v="807"/>
    <n v="120"/>
    <n v="125"/>
    <n v="100875"/>
    <n v="5043.75"/>
    <n v="96840"/>
    <x v="6"/>
  </r>
  <r>
    <x v="2"/>
    <x v="1"/>
    <x v="2"/>
    <x v="2"/>
    <n v="809"/>
    <n v="10"/>
    <n v="125"/>
    <n v="101125"/>
    <n v="2022.5"/>
    <n v="97080"/>
    <x v="1"/>
  </r>
  <r>
    <x v="2"/>
    <x v="1"/>
    <x v="1"/>
    <x v="2"/>
    <n v="809"/>
    <n v="120"/>
    <n v="125"/>
    <n v="101125"/>
    <n v="2022.5"/>
    <n v="97080"/>
    <x v="1"/>
  </r>
  <r>
    <x v="2"/>
    <x v="1"/>
    <x v="4"/>
    <x v="1"/>
    <n v="887"/>
    <n v="3"/>
    <n v="125"/>
    <n v="110875"/>
    <n v="6652.5"/>
    <n v="106440"/>
    <x v="11"/>
  </r>
  <r>
    <x v="1"/>
    <x v="1"/>
    <x v="2"/>
    <x v="0"/>
    <n v="357"/>
    <n v="10"/>
    <n v="350"/>
    <n v="124950"/>
    <n v="16243.5"/>
    <n v="92820"/>
    <x v="14"/>
  </r>
  <r>
    <x v="2"/>
    <x v="1"/>
    <x v="4"/>
    <x v="0"/>
    <n v="1085"/>
    <n v="3"/>
    <n v="125"/>
    <n v="135625"/>
    <n v="20343.75"/>
    <n v="130200"/>
    <x v="3"/>
  </r>
  <r>
    <x v="2"/>
    <x v="1"/>
    <x v="2"/>
    <x v="0"/>
    <n v="1085"/>
    <n v="10"/>
    <n v="125"/>
    <n v="135625"/>
    <n v="20343.75"/>
    <n v="130200"/>
    <x v="3"/>
  </r>
  <r>
    <x v="2"/>
    <x v="1"/>
    <x v="0"/>
    <x v="1"/>
    <n v="994"/>
    <n v="260"/>
    <n v="125"/>
    <n v="124250"/>
    <n v="8697.5"/>
    <n v="119280"/>
    <x v="13"/>
  </r>
  <r>
    <x v="1"/>
    <x v="1"/>
    <x v="3"/>
    <x v="1"/>
    <n v="422"/>
    <n v="250"/>
    <n v="350"/>
    <n v="147700"/>
    <n v="11816"/>
    <n v="109720"/>
    <x v="9"/>
  </r>
  <r>
    <x v="3"/>
    <x v="3"/>
    <x v="5"/>
    <x v="0"/>
    <n v="604"/>
    <n v="5"/>
    <n v="12"/>
    <n v="7248"/>
    <n v="942.24"/>
    <n v="1812"/>
    <x v="10"/>
  </r>
  <r>
    <x v="3"/>
    <x v="3"/>
    <x v="1"/>
    <x v="0"/>
    <n v="604"/>
    <n v="120"/>
    <n v="12"/>
    <n v="7248"/>
    <n v="942.24"/>
    <n v="1812"/>
    <x v="10"/>
  </r>
  <r>
    <x v="3"/>
    <x v="4"/>
    <x v="1"/>
    <x v="1"/>
    <n v="598"/>
    <n v="120"/>
    <n v="12"/>
    <n v="7176"/>
    <n v="574.08000000000004"/>
    <n v="1794"/>
    <x v="0"/>
  </r>
  <r>
    <x v="1"/>
    <x v="4"/>
    <x v="0"/>
    <x v="1"/>
    <n v="1135"/>
    <n v="260"/>
    <n v="7"/>
    <n v="7945"/>
    <n v="556.15"/>
    <n v="5675"/>
    <x v="10"/>
  </r>
  <r>
    <x v="1"/>
    <x v="4"/>
    <x v="1"/>
    <x v="1"/>
    <n v="1135"/>
    <n v="120"/>
    <n v="7"/>
    <n v="7945"/>
    <n v="556.15"/>
    <n v="5675"/>
    <x v="10"/>
  </r>
  <r>
    <x v="1"/>
    <x v="2"/>
    <x v="5"/>
    <x v="0"/>
    <n v="1298"/>
    <n v="5"/>
    <n v="7"/>
    <n v="9086"/>
    <n v="1181.18"/>
    <n v="6490"/>
    <x v="6"/>
  </r>
  <r>
    <x v="4"/>
    <x v="2"/>
    <x v="1"/>
    <x v="1"/>
    <n v="555"/>
    <n v="120"/>
    <n v="15"/>
    <n v="8325"/>
    <n v="416.25"/>
    <n v="5550"/>
    <x v="2"/>
  </r>
  <r>
    <x v="1"/>
    <x v="2"/>
    <x v="0"/>
    <x v="3"/>
    <n v="1143"/>
    <n v="260"/>
    <n v="7"/>
    <n v="8001"/>
    <n v="0"/>
    <n v="5715"/>
    <x v="3"/>
  </r>
  <r>
    <x v="1"/>
    <x v="2"/>
    <x v="2"/>
    <x v="3"/>
    <n v="1143"/>
    <n v="10"/>
    <n v="7"/>
    <n v="8001"/>
    <n v="0"/>
    <n v="5715"/>
    <x v="3"/>
  </r>
  <r>
    <x v="1"/>
    <x v="2"/>
    <x v="3"/>
    <x v="1"/>
    <n v="436.5"/>
    <n v="250"/>
    <n v="20"/>
    <n v="8730"/>
    <n v="698.40000000000009"/>
    <n v="4365"/>
    <x v="8"/>
  </r>
  <r>
    <x v="3"/>
    <x v="3"/>
    <x v="4"/>
    <x v="1"/>
    <n v="727"/>
    <n v="3"/>
    <n v="12"/>
    <n v="8724"/>
    <n v="610.67999999999995"/>
    <n v="2181"/>
    <x v="6"/>
  </r>
  <r>
    <x v="3"/>
    <x v="3"/>
    <x v="5"/>
    <x v="2"/>
    <n v="690"/>
    <n v="5"/>
    <n v="12"/>
    <n v="8280"/>
    <n v="165.6"/>
    <n v="2070"/>
    <x v="14"/>
  </r>
  <r>
    <x v="1"/>
    <x v="3"/>
    <x v="5"/>
    <x v="0"/>
    <n v="1368"/>
    <n v="5"/>
    <n v="7"/>
    <n v="9576"/>
    <n v="1436.4"/>
    <n v="6840"/>
    <x v="6"/>
  </r>
  <r>
    <x v="4"/>
    <x v="3"/>
    <x v="3"/>
    <x v="0"/>
    <n v="641"/>
    <n v="250"/>
    <n v="15"/>
    <n v="9615"/>
    <n v="961.5"/>
    <n v="6410"/>
    <x v="8"/>
  </r>
  <r>
    <x v="4"/>
    <x v="3"/>
    <x v="1"/>
    <x v="0"/>
    <n v="655"/>
    <n v="120"/>
    <n v="15"/>
    <n v="9825"/>
    <n v="1080.75"/>
    <n v="6550"/>
    <x v="13"/>
  </r>
  <r>
    <x v="1"/>
    <x v="2"/>
    <x v="2"/>
    <x v="0"/>
    <n v="1438.5"/>
    <n v="10"/>
    <n v="7"/>
    <n v="10069.5"/>
    <n v="1309.0350000000001"/>
    <n v="7192.5"/>
    <x v="2"/>
  </r>
  <r>
    <x v="1"/>
    <x v="3"/>
    <x v="1"/>
    <x v="1"/>
    <n v="1333"/>
    <n v="120"/>
    <n v="7"/>
    <n v="9331"/>
    <n v="559.86"/>
    <n v="6665"/>
    <x v="14"/>
  </r>
  <r>
    <x v="4"/>
    <x v="2"/>
    <x v="5"/>
    <x v="0"/>
    <n v="677"/>
    <n v="5"/>
    <n v="15"/>
    <n v="10155"/>
    <n v="1218.5999999999999"/>
    <n v="6770"/>
    <x v="0"/>
  </r>
  <r>
    <x v="1"/>
    <x v="4"/>
    <x v="3"/>
    <x v="2"/>
    <n v="1326"/>
    <n v="250"/>
    <n v="7"/>
    <n v="9282"/>
    <n v="92.82"/>
    <n v="6630"/>
    <x v="0"/>
  </r>
  <r>
    <x v="4"/>
    <x v="2"/>
    <x v="0"/>
    <x v="3"/>
    <n v="615"/>
    <n v="260"/>
    <n v="15"/>
    <n v="9225"/>
    <n v="0"/>
    <n v="6150"/>
    <x v="4"/>
  </r>
  <r>
    <x v="4"/>
    <x v="2"/>
    <x v="5"/>
    <x v="3"/>
    <n v="615"/>
    <n v="5"/>
    <n v="15"/>
    <n v="9225"/>
    <n v="0"/>
    <n v="6150"/>
    <x v="4"/>
  </r>
  <r>
    <x v="3"/>
    <x v="2"/>
    <x v="2"/>
    <x v="0"/>
    <n v="914"/>
    <n v="10"/>
    <n v="12"/>
    <n v="10968"/>
    <n v="1645.2"/>
    <n v="2742"/>
    <x v="4"/>
  </r>
  <r>
    <x v="3"/>
    <x v="2"/>
    <x v="1"/>
    <x v="0"/>
    <n v="914"/>
    <n v="120"/>
    <n v="12"/>
    <n v="10968"/>
    <n v="1645.2"/>
    <n v="2742"/>
    <x v="4"/>
  </r>
  <r>
    <x v="4"/>
    <x v="2"/>
    <x v="0"/>
    <x v="2"/>
    <n v="671"/>
    <n v="260"/>
    <n v="15"/>
    <n v="10065"/>
    <n v="402.6"/>
    <n v="6710"/>
    <x v="1"/>
  </r>
  <r>
    <x v="4"/>
    <x v="2"/>
    <x v="2"/>
    <x v="2"/>
    <n v="671"/>
    <n v="10"/>
    <n v="15"/>
    <n v="10065"/>
    <n v="402.6"/>
    <n v="6710"/>
    <x v="1"/>
  </r>
  <r>
    <x v="1"/>
    <x v="2"/>
    <x v="3"/>
    <x v="0"/>
    <n v="1579"/>
    <n v="250"/>
    <n v="7"/>
    <n v="11053"/>
    <n v="1215.83"/>
    <n v="7895"/>
    <x v="0"/>
  </r>
  <r>
    <x v="1"/>
    <x v="3"/>
    <x v="1"/>
    <x v="1"/>
    <n v="1498"/>
    <n v="120"/>
    <n v="7"/>
    <n v="10486"/>
    <n v="629.16"/>
    <n v="7490"/>
    <x v="10"/>
  </r>
  <r>
    <x v="1"/>
    <x v="3"/>
    <x v="3"/>
    <x v="1"/>
    <n v="1498"/>
    <n v="250"/>
    <n v="7"/>
    <n v="10486"/>
    <n v="629.16"/>
    <n v="7490"/>
    <x v="10"/>
  </r>
  <r>
    <x v="1"/>
    <x v="4"/>
    <x v="5"/>
    <x v="1"/>
    <n v="1611"/>
    <n v="5"/>
    <n v="7"/>
    <n v="11277"/>
    <n v="1014.93"/>
    <n v="8055"/>
    <x v="11"/>
  </r>
  <r>
    <x v="1"/>
    <x v="4"/>
    <x v="1"/>
    <x v="1"/>
    <n v="1582"/>
    <n v="120"/>
    <n v="7"/>
    <n v="11074"/>
    <n v="775.18"/>
    <n v="7910"/>
    <x v="4"/>
  </r>
  <r>
    <x v="1"/>
    <x v="4"/>
    <x v="3"/>
    <x v="1"/>
    <n v="1582"/>
    <n v="250"/>
    <n v="7"/>
    <n v="11074"/>
    <n v="775.18"/>
    <n v="7910"/>
    <x v="4"/>
  </r>
  <r>
    <x v="1"/>
    <x v="3"/>
    <x v="0"/>
    <x v="0"/>
    <n v="1727"/>
    <n v="260"/>
    <n v="7"/>
    <n v="12089"/>
    <n v="1692.46"/>
    <n v="8635"/>
    <x v="1"/>
  </r>
  <r>
    <x v="1"/>
    <x v="3"/>
    <x v="5"/>
    <x v="0"/>
    <n v="1727"/>
    <n v="5"/>
    <n v="7"/>
    <n v="12089"/>
    <n v="1692.46"/>
    <n v="8635"/>
    <x v="1"/>
  </r>
  <r>
    <x v="1"/>
    <x v="2"/>
    <x v="1"/>
    <x v="0"/>
    <n v="606"/>
    <n v="120"/>
    <n v="20"/>
    <n v="12120"/>
    <n v="1696.8000000000002"/>
    <n v="6060"/>
    <x v="15"/>
  </r>
  <r>
    <x v="1"/>
    <x v="3"/>
    <x v="1"/>
    <x v="3"/>
    <n v="1493"/>
    <n v="120"/>
    <n v="7"/>
    <n v="10451"/>
    <n v="0"/>
    <n v="7465"/>
    <x v="2"/>
  </r>
  <r>
    <x v="3"/>
    <x v="4"/>
    <x v="4"/>
    <x v="2"/>
    <n v="908"/>
    <n v="3"/>
    <n v="12"/>
    <n v="10896"/>
    <n v="326.88"/>
    <n v="2724"/>
    <x v="11"/>
  </r>
  <r>
    <x v="1"/>
    <x v="3"/>
    <x v="1"/>
    <x v="2"/>
    <n v="544"/>
    <n v="120"/>
    <n v="20"/>
    <n v="10880"/>
    <n v="217.6"/>
    <n v="5440"/>
    <x v="11"/>
  </r>
  <r>
    <x v="4"/>
    <x v="2"/>
    <x v="1"/>
    <x v="0"/>
    <n v="790"/>
    <n v="120"/>
    <n v="15"/>
    <n v="11850"/>
    <n v="1185"/>
    <n v="7900"/>
    <x v="12"/>
  </r>
  <r>
    <x v="3"/>
    <x v="3"/>
    <x v="3"/>
    <x v="0"/>
    <n v="1005"/>
    <n v="250"/>
    <n v="12"/>
    <n v="12060"/>
    <n v="1326.6"/>
    <n v="3015"/>
    <x v="13"/>
  </r>
  <r>
    <x v="3"/>
    <x v="2"/>
    <x v="2"/>
    <x v="3"/>
    <n v="912"/>
    <n v="10"/>
    <n v="12"/>
    <n v="10944"/>
    <n v="0"/>
    <n v="2736"/>
    <x v="7"/>
  </r>
  <r>
    <x v="1"/>
    <x v="3"/>
    <x v="0"/>
    <x v="1"/>
    <n v="1683"/>
    <n v="260"/>
    <n v="7"/>
    <n v="11781"/>
    <n v="589.04999999999995"/>
    <n v="8415"/>
    <x v="8"/>
  </r>
  <r>
    <x v="1"/>
    <x v="4"/>
    <x v="1"/>
    <x v="0"/>
    <n v="1808"/>
    <n v="120"/>
    <n v="7"/>
    <n v="12656"/>
    <n v="1392.16"/>
    <n v="9040"/>
    <x v="14"/>
  </r>
  <r>
    <x v="1"/>
    <x v="3"/>
    <x v="1"/>
    <x v="1"/>
    <n v="609"/>
    <n v="120"/>
    <n v="20"/>
    <n v="12180"/>
    <n v="852.6"/>
    <n v="6090"/>
    <x v="9"/>
  </r>
  <r>
    <x v="1"/>
    <x v="3"/>
    <x v="2"/>
    <x v="2"/>
    <n v="1760"/>
    <n v="10"/>
    <n v="7"/>
    <n v="12320"/>
    <n v="369.6"/>
    <n v="8800"/>
    <x v="13"/>
  </r>
  <r>
    <x v="1"/>
    <x v="3"/>
    <x v="2"/>
    <x v="1"/>
    <n v="1946"/>
    <n v="10"/>
    <n v="7"/>
    <n v="13622"/>
    <n v="1089.76"/>
    <n v="9730"/>
    <x v="11"/>
  </r>
  <r>
    <x v="1"/>
    <x v="4"/>
    <x v="5"/>
    <x v="2"/>
    <n v="1830"/>
    <n v="5"/>
    <n v="7"/>
    <n v="12810"/>
    <n v="128.1"/>
    <n v="9150"/>
    <x v="9"/>
  </r>
  <r>
    <x v="3"/>
    <x v="3"/>
    <x v="2"/>
    <x v="2"/>
    <n v="1084"/>
    <n v="10"/>
    <n v="12"/>
    <n v="13008"/>
    <n v="260.16000000000003"/>
    <n v="3252"/>
    <x v="4"/>
  </r>
  <r>
    <x v="3"/>
    <x v="3"/>
    <x v="1"/>
    <x v="2"/>
    <n v="1084"/>
    <n v="120"/>
    <n v="12"/>
    <n v="13008"/>
    <n v="260.16000000000003"/>
    <n v="3252"/>
    <x v="4"/>
  </r>
  <r>
    <x v="3"/>
    <x v="3"/>
    <x v="0"/>
    <x v="1"/>
    <n v="1123"/>
    <n v="260"/>
    <n v="12"/>
    <n v="13476"/>
    <n v="673.8"/>
    <n v="3369"/>
    <x v="9"/>
  </r>
  <r>
    <x v="1"/>
    <x v="4"/>
    <x v="0"/>
    <x v="1"/>
    <n v="708"/>
    <n v="260"/>
    <n v="20"/>
    <n v="14160"/>
    <n v="1132.8"/>
    <n v="7080"/>
    <x v="10"/>
  </r>
  <r>
    <x v="1"/>
    <x v="4"/>
    <x v="5"/>
    <x v="1"/>
    <n v="708"/>
    <n v="5"/>
    <n v="20"/>
    <n v="14160"/>
    <n v="1132.8"/>
    <n v="7080"/>
    <x v="10"/>
  </r>
  <r>
    <x v="3"/>
    <x v="2"/>
    <x v="5"/>
    <x v="2"/>
    <n v="1142"/>
    <n v="5"/>
    <n v="12"/>
    <n v="13704"/>
    <n v="274.08"/>
    <n v="3426"/>
    <x v="10"/>
  </r>
  <r>
    <x v="3"/>
    <x v="2"/>
    <x v="2"/>
    <x v="2"/>
    <n v="1142"/>
    <n v="10"/>
    <n v="12"/>
    <n v="13704"/>
    <n v="274.08"/>
    <n v="3426"/>
    <x v="10"/>
  </r>
  <r>
    <x v="1"/>
    <x v="2"/>
    <x v="2"/>
    <x v="2"/>
    <n v="2013"/>
    <n v="10"/>
    <n v="7"/>
    <n v="14091"/>
    <n v="281.82"/>
    <n v="10065"/>
    <x v="11"/>
  </r>
  <r>
    <x v="1"/>
    <x v="2"/>
    <x v="1"/>
    <x v="2"/>
    <n v="736"/>
    <n v="120"/>
    <n v="20"/>
    <n v="14720"/>
    <n v="588.79999999999995"/>
    <n v="7360"/>
    <x v="13"/>
  </r>
  <r>
    <x v="1"/>
    <x v="4"/>
    <x v="1"/>
    <x v="2"/>
    <n v="2092"/>
    <n v="120"/>
    <n v="7"/>
    <n v="14644"/>
    <n v="146.44"/>
    <n v="10460"/>
    <x v="7"/>
  </r>
  <r>
    <x v="4"/>
    <x v="3"/>
    <x v="2"/>
    <x v="3"/>
    <n v="974"/>
    <n v="10"/>
    <n v="15"/>
    <n v="14610"/>
    <n v="0"/>
    <n v="9740"/>
    <x v="6"/>
  </r>
  <r>
    <x v="1"/>
    <x v="2"/>
    <x v="5"/>
    <x v="0"/>
    <n v="2328"/>
    <n v="5"/>
    <n v="7"/>
    <n v="16296"/>
    <n v="1629.6"/>
    <n v="11640"/>
    <x v="5"/>
  </r>
  <r>
    <x v="1"/>
    <x v="4"/>
    <x v="3"/>
    <x v="0"/>
    <n v="865.5"/>
    <n v="250"/>
    <n v="20"/>
    <n v="17310"/>
    <n v="2596.5"/>
    <n v="8655"/>
    <x v="8"/>
  </r>
  <r>
    <x v="1"/>
    <x v="3"/>
    <x v="5"/>
    <x v="0"/>
    <n v="2420"/>
    <n v="5"/>
    <n v="7"/>
    <n v="16940"/>
    <n v="2032.8"/>
    <n v="12100"/>
    <x v="5"/>
  </r>
  <r>
    <x v="1"/>
    <x v="3"/>
    <x v="2"/>
    <x v="0"/>
    <n v="2535"/>
    <n v="10"/>
    <n v="7"/>
    <n v="17745"/>
    <n v="2661.75"/>
    <n v="12675"/>
    <x v="15"/>
  </r>
  <r>
    <x v="3"/>
    <x v="3"/>
    <x v="0"/>
    <x v="1"/>
    <n v="1375"/>
    <n v="260"/>
    <n v="12"/>
    <n v="16500"/>
    <n v="1320"/>
    <n v="4125"/>
    <x v="11"/>
  </r>
  <r>
    <x v="3"/>
    <x v="4"/>
    <x v="4"/>
    <x v="2"/>
    <n v="1295"/>
    <n v="3"/>
    <n v="12"/>
    <n v="15540"/>
    <n v="310.8"/>
    <n v="3885"/>
    <x v="3"/>
  </r>
  <r>
    <x v="3"/>
    <x v="4"/>
    <x v="2"/>
    <x v="2"/>
    <n v="1295"/>
    <n v="10"/>
    <n v="12"/>
    <n v="15540"/>
    <n v="310.8"/>
    <n v="3885"/>
    <x v="3"/>
  </r>
  <r>
    <x v="1"/>
    <x v="2"/>
    <x v="2"/>
    <x v="1"/>
    <n v="2327"/>
    <n v="10"/>
    <n v="7"/>
    <n v="16289"/>
    <n v="814.45"/>
    <n v="11635"/>
    <x v="12"/>
  </r>
  <r>
    <x v="1"/>
    <x v="4"/>
    <x v="2"/>
    <x v="1"/>
    <n v="2349"/>
    <n v="10"/>
    <n v="7"/>
    <n v="16443"/>
    <n v="822.15"/>
    <n v="11745"/>
    <x v="13"/>
  </r>
  <r>
    <x v="1"/>
    <x v="3"/>
    <x v="2"/>
    <x v="0"/>
    <n v="905"/>
    <n v="10"/>
    <n v="20"/>
    <n v="18100"/>
    <n v="2172"/>
    <n v="9050"/>
    <x v="3"/>
  </r>
  <r>
    <x v="1"/>
    <x v="3"/>
    <x v="1"/>
    <x v="0"/>
    <n v="905"/>
    <n v="120"/>
    <n v="20"/>
    <n v="18100"/>
    <n v="2172"/>
    <n v="9050"/>
    <x v="3"/>
  </r>
  <r>
    <x v="3"/>
    <x v="2"/>
    <x v="2"/>
    <x v="2"/>
    <n v="1369.5"/>
    <n v="10"/>
    <n v="12"/>
    <n v="16434"/>
    <n v="493.02"/>
    <n v="4108.5"/>
    <x v="8"/>
  </r>
  <r>
    <x v="1"/>
    <x v="4"/>
    <x v="4"/>
    <x v="2"/>
    <n v="831"/>
    <n v="3"/>
    <n v="20"/>
    <n v="16620"/>
    <n v="498.6"/>
    <n v="8310"/>
    <x v="12"/>
  </r>
  <r>
    <x v="4"/>
    <x v="2"/>
    <x v="2"/>
    <x v="1"/>
    <n v="1153"/>
    <n v="10"/>
    <n v="15"/>
    <n v="17295"/>
    <n v="1037.7"/>
    <n v="11530"/>
    <x v="3"/>
  </r>
  <r>
    <x v="4"/>
    <x v="2"/>
    <x v="3"/>
    <x v="1"/>
    <n v="1153"/>
    <n v="250"/>
    <n v="15"/>
    <n v="17295"/>
    <n v="1037.7"/>
    <n v="11530"/>
    <x v="3"/>
  </r>
  <r>
    <x v="1"/>
    <x v="4"/>
    <x v="0"/>
    <x v="0"/>
    <n v="2734"/>
    <n v="260"/>
    <n v="7"/>
    <n v="19138"/>
    <n v="2296.56"/>
    <n v="13670"/>
    <x v="3"/>
  </r>
  <r>
    <x v="1"/>
    <x v="4"/>
    <x v="5"/>
    <x v="0"/>
    <n v="2734"/>
    <n v="5"/>
    <n v="7"/>
    <n v="19138"/>
    <n v="2296.56"/>
    <n v="13670"/>
    <x v="3"/>
  </r>
  <r>
    <x v="1"/>
    <x v="3"/>
    <x v="4"/>
    <x v="0"/>
    <n v="2706"/>
    <n v="3"/>
    <n v="7"/>
    <n v="18942"/>
    <n v="2083.62"/>
    <n v="13530"/>
    <x v="7"/>
  </r>
  <r>
    <x v="3"/>
    <x v="2"/>
    <x v="1"/>
    <x v="2"/>
    <n v="1465"/>
    <n v="120"/>
    <n v="12"/>
    <n v="17580"/>
    <n v="703.2"/>
    <n v="4395"/>
    <x v="0"/>
  </r>
  <r>
    <x v="3"/>
    <x v="4"/>
    <x v="4"/>
    <x v="2"/>
    <n v="1445"/>
    <n v="3"/>
    <n v="12"/>
    <n v="17340"/>
    <n v="173.4"/>
    <n v="4335"/>
    <x v="5"/>
  </r>
  <r>
    <x v="1"/>
    <x v="3"/>
    <x v="3"/>
    <x v="0"/>
    <n v="2903"/>
    <n v="250"/>
    <n v="7"/>
    <n v="20321"/>
    <n v="2844.94"/>
    <n v="14515"/>
    <x v="0"/>
  </r>
  <r>
    <x v="1"/>
    <x v="2"/>
    <x v="4"/>
    <x v="2"/>
    <n v="2529"/>
    <n v="3"/>
    <n v="7"/>
    <n v="17703"/>
    <n v="177.03"/>
    <n v="12645"/>
    <x v="8"/>
  </r>
  <r>
    <x v="4"/>
    <x v="4"/>
    <x v="1"/>
    <x v="1"/>
    <n v="1262"/>
    <n v="120"/>
    <n v="15"/>
    <n v="18930"/>
    <n v="1325.1"/>
    <n v="12620"/>
    <x v="12"/>
  </r>
  <r>
    <x v="1"/>
    <x v="2"/>
    <x v="2"/>
    <x v="1"/>
    <n v="973"/>
    <n v="10"/>
    <n v="20"/>
    <n v="19460"/>
    <n v="1751.4"/>
    <n v="9730"/>
    <x v="0"/>
  </r>
  <r>
    <x v="1"/>
    <x v="3"/>
    <x v="2"/>
    <x v="1"/>
    <n v="2689"/>
    <n v="10"/>
    <n v="7"/>
    <n v="18823"/>
    <n v="941.15"/>
    <n v="13445"/>
    <x v="3"/>
  </r>
  <r>
    <x v="1"/>
    <x v="3"/>
    <x v="3"/>
    <x v="1"/>
    <n v="2689"/>
    <n v="250"/>
    <n v="7"/>
    <n v="18823"/>
    <n v="941.15"/>
    <n v="13445"/>
    <x v="3"/>
  </r>
  <r>
    <x v="1"/>
    <x v="2"/>
    <x v="4"/>
    <x v="0"/>
    <n v="2996"/>
    <n v="3"/>
    <n v="7"/>
    <n v="20972"/>
    <n v="2936.08"/>
    <n v="14980"/>
    <x v="1"/>
  </r>
  <r>
    <x v="1"/>
    <x v="2"/>
    <x v="5"/>
    <x v="0"/>
    <n v="2996"/>
    <n v="5"/>
    <n v="7"/>
    <n v="20972"/>
    <n v="2936.08"/>
    <n v="14980"/>
    <x v="1"/>
  </r>
  <r>
    <x v="3"/>
    <x v="2"/>
    <x v="3"/>
    <x v="0"/>
    <n v="1806"/>
    <n v="250"/>
    <n v="12"/>
    <n v="21672"/>
    <n v="3250.8"/>
    <n v="5418"/>
    <x v="12"/>
  </r>
  <r>
    <x v="1"/>
    <x v="2"/>
    <x v="0"/>
    <x v="1"/>
    <n v="2907"/>
    <n v="260"/>
    <n v="7"/>
    <n v="20349"/>
    <n v="1627.92"/>
    <n v="14535"/>
    <x v="10"/>
  </r>
  <r>
    <x v="1"/>
    <x v="2"/>
    <x v="1"/>
    <x v="1"/>
    <n v="2907"/>
    <n v="120"/>
    <n v="7"/>
    <n v="20349"/>
    <n v="1627.92"/>
    <n v="14535"/>
    <x v="10"/>
  </r>
  <r>
    <x v="1"/>
    <x v="3"/>
    <x v="0"/>
    <x v="1"/>
    <n v="1038"/>
    <n v="260"/>
    <n v="20"/>
    <n v="20760"/>
    <n v="1868.4"/>
    <n v="10380"/>
    <x v="10"/>
  </r>
  <r>
    <x v="1"/>
    <x v="3"/>
    <x v="2"/>
    <x v="1"/>
    <n v="1038"/>
    <n v="10"/>
    <n v="20"/>
    <n v="20760"/>
    <n v="1868.4"/>
    <n v="10380"/>
    <x v="10"/>
  </r>
  <r>
    <x v="1"/>
    <x v="4"/>
    <x v="4"/>
    <x v="2"/>
    <n v="2851"/>
    <n v="3"/>
    <n v="7"/>
    <n v="19957"/>
    <n v="798.28"/>
    <n v="14255"/>
    <x v="1"/>
  </r>
  <r>
    <x v="1"/>
    <x v="4"/>
    <x v="5"/>
    <x v="2"/>
    <n v="2851"/>
    <n v="5"/>
    <n v="7"/>
    <n v="19957"/>
    <n v="798.28"/>
    <n v="14255"/>
    <x v="1"/>
  </r>
  <r>
    <x v="1"/>
    <x v="3"/>
    <x v="2"/>
    <x v="0"/>
    <n v="1122"/>
    <n v="10"/>
    <n v="20"/>
    <n v="22440"/>
    <n v="2468.4"/>
    <n v="11220"/>
    <x v="0"/>
  </r>
  <r>
    <x v="1"/>
    <x v="2"/>
    <x v="2"/>
    <x v="2"/>
    <n v="1056"/>
    <n v="10"/>
    <n v="20"/>
    <n v="21120"/>
    <n v="844.8"/>
    <n v="10560"/>
    <x v="5"/>
  </r>
  <r>
    <x v="4"/>
    <x v="4"/>
    <x v="2"/>
    <x v="0"/>
    <n v="1565"/>
    <n v="10"/>
    <n v="15"/>
    <n v="23475"/>
    <n v="3051.75"/>
    <n v="15650"/>
    <x v="3"/>
  </r>
  <r>
    <x v="4"/>
    <x v="4"/>
    <x v="3"/>
    <x v="0"/>
    <n v="1565"/>
    <n v="250"/>
    <n v="15"/>
    <n v="23475"/>
    <n v="3051.75"/>
    <n v="15650"/>
    <x v="3"/>
  </r>
  <r>
    <x v="4"/>
    <x v="4"/>
    <x v="2"/>
    <x v="0"/>
    <n v="1614"/>
    <n v="10"/>
    <n v="15"/>
    <n v="24210"/>
    <n v="3631.5"/>
    <n v="16140"/>
    <x v="15"/>
  </r>
  <r>
    <x v="3"/>
    <x v="4"/>
    <x v="4"/>
    <x v="0"/>
    <n v="1937"/>
    <n v="3"/>
    <n v="12"/>
    <n v="23244"/>
    <n v="2556.84"/>
    <n v="5811"/>
    <x v="6"/>
  </r>
  <r>
    <x v="3"/>
    <x v="2"/>
    <x v="0"/>
    <x v="0"/>
    <n v="2015"/>
    <n v="260"/>
    <n v="12"/>
    <n v="24180"/>
    <n v="3385.2"/>
    <n v="6045"/>
    <x v="11"/>
  </r>
  <r>
    <x v="1"/>
    <x v="4"/>
    <x v="0"/>
    <x v="1"/>
    <n v="1118"/>
    <n v="260"/>
    <n v="20"/>
    <n v="22360"/>
    <n v="1565.2"/>
    <n v="11180"/>
    <x v="14"/>
  </r>
  <r>
    <x v="4"/>
    <x v="4"/>
    <x v="4"/>
    <x v="0"/>
    <n v="1560"/>
    <n v="3"/>
    <n v="15"/>
    <n v="23400"/>
    <n v="2574"/>
    <n v="15600"/>
    <x v="7"/>
  </r>
  <r>
    <x v="1"/>
    <x v="2"/>
    <x v="4"/>
    <x v="1"/>
    <n v="1117.5"/>
    <n v="3"/>
    <n v="20"/>
    <n v="22350"/>
    <n v="1341"/>
    <n v="11175"/>
    <x v="2"/>
  </r>
  <r>
    <x v="3"/>
    <x v="4"/>
    <x v="4"/>
    <x v="1"/>
    <n v="1884"/>
    <n v="3"/>
    <n v="12"/>
    <n v="22608"/>
    <n v="1582.56"/>
    <n v="5652"/>
    <x v="9"/>
  </r>
  <r>
    <x v="1"/>
    <x v="3"/>
    <x v="3"/>
    <x v="1"/>
    <n v="1123"/>
    <n v="250"/>
    <n v="20"/>
    <n v="22460"/>
    <n v="1347.6"/>
    <n v="11230"/>
    <x v="7"/>
  </r>
  <r>
    <x v="3"/>
    <x v="2"/>
    <x v="3"/>
    <x v="1"/>
    <n v="1956"/>
    <n v="250"/>
    <n v="12"/>
    <n v="23472"/>
    <n v="2112.48"/>
    <n v="5868"/>
    <x v="2"/>
  </r>
  <r>
    <x v="1"/>
    <x v="3"/>
    <x v="2"/>
    <x v="0"/>
    <n v="1233"/>
    <n v="10"/>
    <n v="20"/>
    <n v="24660"/>
    <n v="2959.2"/>
    <n v="12330"/>
    <x v="4"/>
  </r>
  <r>
    <x v="1"/>
    <x v="3"/>
    <x v="3"/>
    <x v="0"/>
    <n v="1233"/>
    <n v="250"/>
    <n v="20"/>
    <n v="24660"/>
    <n v="2959.2"/>
    <n v="12330"/>
    <x v="4"/>
  </r>
  <r>
    <x v="1"/>
    <x v="4"/>
    <x v="5"/>
    <x v="0"/>
    <n v="1249"/>
    <n v="5"/>
    <n v="20"/>
    <n v="24980"/>
    <n v="3247.4"/>
    <n v="12490"/>
    <x v="3"/>
  </r>
  <r>
    <x v="1"/>
    <x v="4"/>
    <x v="2"/>
    <x v="0"/>
    <n v="1249"/>
    <n v="10"/>
    <n v="20"/>
    <n v="24980"/>
    <n v="3247.4"/>
    <n v="12490"/>
    <x v="3"/>
  </r>
  <r>
    <x v="4"/>
    <x v="3"/>
    <x v="2"/>
    <x v="2"/>
    <n v="1514"/>
    <n v="10"/>
    <n v="15"/>
    <n v="22710"/>
    <n v="908.4"/>
    <n v="15140"/>
    <x v="1"/>
  </r>
  <r>
    <x v="4"/>
    <x v="3"/>
    <x v="3"/>
    <x v="2"/>
    <n v="1514"/>
    <n v="250"/>
    <n v="15"/>
    <n v="22710"/>
    <n v="908.4"/>
    <n v="15140"/>
    <x v="1"/>
  </r>
  <r>
    <x v="3"/>
    <x v="2"/>
    <x v="4"/>
    <x v="2"/>
    <n v="1858"/>
    <n v="3"/>
    <n v="12"/>
    <n v="22296"/>
    <n v="222.96"/>
    <n v="5574"/>
    <x v="6"/>
  </r>
  <r>
    <x v="4"/>
    <x v="4"/>
    <x v="0"/>
    <x v="1"/>
    <n v="1630.5"/>
    <n v="260"/>
    <n v="15"/>
    <n v="24457.5"/>
    <n v="2201.1750000000002"/>
    <n v="16305"/>
    <x v="8"/>
  </r>
  <r>
    <x v="3"/>
    <x v="4"/>
    <x v="3"/>
    <x v="0"/>
    <n v="2109"/>
    <n v="250"/>
    <n v="12"/>
    <n v="25308"/>
    <n v="3036.96"/>
    <n v="6327"/>
    <x v="12"/>
  </r>
  <r>
    <x v="3"/>
    <x v="3"/>
    <x v="3"/>
    <x v="2"/>
    <n v="1916"/>
    <n v="250"/>
    <n v="12"/>
    <n v="22992"/>
    <n v="689.76"/>
    <n v="5748"/>
    <x v="15"/>
  </r>
  <r>
    <x v="4"/>
    <x v="2"/>
    <x v="2"/>
    <x v="2"/>
    <n v="1514"/>
    <n v="10"/>
    <n v="15"/>
    <n v="22710"/>
    <n v="227.1"/>
    <n v="15140"/>
    <x v="6"/>
  </r>
  <r>
    <x v="4"/>
    <x v="4"/>
    <x v="0"/>
    <x v="0"/>
    <n v="1743"/>
    <n v="260"/>
    <n v="15"/>
    <n v="26145"/>
    <n v="3660.3"/>
    <n v="17430"/>
    <x v="1"/>
  </r>
  <r>
    <x v="4"/>
    <x v="4"/>
    <x v="2"/>
    <x v="0"/>
    <n v="1743"/>
    <n v="10"/>
    <n v="15"/>
    <n v="26145"/>
    <n v="3660.3"/>
    <n v="17430"/>
    <x v="1"/>
  </r>
  <r>
    <x v="3"/>
    <x v="2"/>
    <x v="4"/>
    <x v="2"/>
    <n v="1947"/>
    <n v="3"/>
    <n v="12"/>
    <n v="23364"/>
    <n v="700.92"/>
    <n v="5841"/>
    <x v="5"/>
  </r>
  <r>
    <x v="4"/>
    <x v="2"/>
    <x v="2"/>
    <x v="0"/>
    <n v="1767"/>
    <n v="10"/>
    <n v="15"/>
    <n v="26505"/>
    <n v="3710.7"/>
    <n v="17670"/>
    <x v="5"/>
  </r>
  <r>
    <x v="3"/>
    <x v="4"/>
    <x v="2"/>
    <x v="0"/>
    <n v="2222"/>
    <n v="10"/>
    <n v="12"/>
    <n v="26664"/>
    <n v="3732.96"/>
    <n v="6666"/>
    <x v="7"/>
  </r>
  <r>
    <x v="3"/>
    <x v="2"/>
    <x v="0"/>
    <x v="3"/>
    <n v="1953"/>
    <n v="260"/>
    <n v="12"/>
    <n v="23436"/>
    <n v="0"/>
    <n v="5859"/>
    <x v="15"/>
  </r>
  <r>
    <x v="1"/>
    <x v="2"/>
    <x v="0"/>
    <x v="1"/>
    <n v="1282"/>
    <n v="260"/>
    <n v="20"/>
    <n v="25640"/>
    <n v="2051.1999999999998"/>
    <n v="12820"/>
    <x v="10"/>
  </r>
  <r>
    <x v="1"/>
    <x v="2"/>
    <x v="5"/>
    <x v="1"/>
    <n v="1282"/>
    <n v="5"/>
    <n v="20"/>
    <n v="25640"/>
    <n v="2051.1999999999998"/>
    <n v="12820"/>
    <x v="10"/>
  </r>
  <r>
    <x v="3"/>
    <x v="2"/>
    <x v="0"/>
    <x v="2"/>
    <n v="1989"/>
    <n v="260"/>
    <n v="12"/>
    <n v="23868"/>
    <n v="238.68"/>
    <n v="5967"/>
    <x v="13"/>
  </r>
  <r>
    <x v="1"/>
    <x v="2"/>
    <x v="3"/>
    <x v="1"/>
    <n v="1265"/>
    <n v="250"/>
    <n v="20"/>
    <n v="25300"/>
    <n v="1265"/>
    <n v="12650"/>
    <x v="7"/>
  </r>
  <r>
    <x v="4"/>
    <x v="3"/>
    <x v="0"/>
    <x v="0"/>
    <n v="1870"/>
    <n v="260"/>
    <n v="15"/>
    <n v="28050"/>
    <n v="3927"/>
    <n v="18700"/>
    <x v="7"/>
  </r>
  <r>
    <x v="1"/>
    <x v="2"/>
    <x v="0"/>
    <x v="2"/>
    <n v="1236"/>
    <n v="260"/>
    <n v="20"/>
    <n v="24720"/>
    <n v="494.4"/>
    <n v="12360"/>
    <x v="14"/>
  </r>
  <r>
    <x v="3"/>
    <x v="4"/>
    <x v="5"/>
    <x v="1"/>
    <n v="2321"/>
    <n v="5"/>
    <n v="12"/>
    <n v="27852"/>
    <n v="2506.6799999999998"/>
    <n v="6963"/>
    <x v="14"/>
  </r>
  <r>
    <x v="3"/>
    <x v="2"/>
    <x v="0"/>
    <x v="3"/>
    <n v="2141"/>
    <n v="260"/>
    <n v="12"/>
    <n v="25692"/>
    <n v="0"/>
    <n v="6423"/>
    <x v="9"/>
  </r>
  <r>
    <x v="3"/>
    <x v="4"/>
    <x v="4"/>
    <x v="1"/>
    <n v="2299"/>
    <n v="3"/>
    <n v="12"/>
    <n v="27588"/>
    <n v="1655.28"/>
    <n v="6897"/>
    <x v="1"/>
  </r>
  <r>
    <x v="3"/>
    <x v="4"/>
    <x v="2"/>
    <x v="1"/>
    <n v="2299"/>
    <n v="10"/>
    <n v="12"/>
    <n v="27588"/>
    <n v="1655.28"/>
    <n v="6897"/>
    <x v="1"/>
  </r>
  <r>
    <x v="3"/>
    <x v="3"/>
    <x v="5"/>
    <x v="1"/>
    <n v="2340"/>
    <n v="5"/>
    <n v="12"/>
    <n v="28080"/>
    <n v="1965.6"/>
    <n v="7020"/>
    <x v="2"/>
  </r>
  <r>
    <x v="1"/>
    <x v="4"/>
    <x v="2"/>
    <x v="1"/>
    <n v="1389"/>
    <n v="10"/>
    <n v="20"/>
    <n v="27780"/>
    <n v="1389"/>
    <n v="13890"/>
    <x v="1"/>
  </r>
  <r>
    <x v="1"/>
    <x v="4"/>
    <x v="3"/>
    <x v="1"/>
    <n v="1389"/>
    <n v="250"/>
    <n v="20"/>
    <n v="27780"/>
    <n v="1389"/>
    <n v="13890"/>
    <x v="1"/>
  </r>
  <r>
    <x v="1"/>
    <x v="2"/>
    <x v="1"/>
    <x v="1"/>
    <n v="1421"/>
    <n v="120"/>
    <n v="20"/>
    <n v="28420"/>
    <n v="1989.4"/>
    <n v="14210"/>
    <x v="11"/>
  </r>
  <r>
    <x v="4"/>
    <x v="3"/>
    <x v="2"/>
    <x v="0"/>
    <n v="1984"/>
    <n v="10"/>
    <n v="15"/>
    <n v="29760"/>
    <n v="3273.6"/>
    <n v="19840"/>
    <x v="9"/>
  </r>
  <r>
    <x v="3"/>
    <x v="4"/>
    <x v="2"/>
    <x v="1"/>
    <n v="2431"/>
    <n v="10"/>
    <n v="12"/>
    <n v="29172"/>
    <n v="1458.6"/>
    <n v="7293"/>
    <x v="4"/>
  </r>
  <r>
    <x v="3"/>
    <x v="4"/>
    <x v="1"/>
    <x v="1"/>
    <n v="2431"/>
    <n v="120"/>
    <n v="12"/>
    <n v="29172"/>
    <n v="1458.6"/>
    <n v="7293"/>
    <x v="4"/>
  </r>
  <r>
    <x v="3"/>
    <x v="3"/>
    <x v="5"/>
    <x v="0"/>
    <n v="2661"/>
    <n v="5"/>
    <n v="12"/>
    <n v="31932"/>
    <n v="3831.84"/>
    <n v="7983"/>
    <x v="12"/>
  </r>
  <r>
    <x v="4"/>
    <x v="2"/>
    <x v="2"/>
    <x v="2"/>
    <n v="1925"/>
    <n v="10"/>
    <n v="15"/>
    <n v="28875"/>
    <n v="577.5"/>
    <n v="19250"/>
    <x v="11"/>
  </r>
  <r>
    <x v="4"/>
    <x v="4"/>
    <x v="5"/>
    <x v="2"/>
    <n v="1967"/>
    <n v="5"/>
    <n v="15"/>
    <n v="29505"/>
    <n v="1180.2"/>
    <n v="19670"/>
    <x v="0"/>
  </r>
  <r>
    <x v="1"/>
    <x v="4"/>
    <x v="2"/>
    <x v="2"/>
    <n v="4251"/>
    <n v="10"/>
    <n v="7"/>
    <n v="29757"/>
    <n v="1190.28"/>
    <n v="21255"/>
    <x v="2"/>
  </r>
  <r>
    <x v="4"/>
    <x v="2"/>
    <x v="4"/>
    <x v="1"/>
    <n v="2030"/>
    <n v="3"/>
    <n v="15"/>
    <n v="30450"/>
    <n v="1827"/>
    <n v="20300"/>
    <x v="14"/>
  </r>
  <r>
    <x v="4"/>
    <x v="3"/>
    <x v="0"/>
    <x v="0"/>
    <n v="2157"/>
    <n v="260"/>
    <n v="15"/>
    <n v="32355"/>
    <n v="3559.05"/>
    <n v="21570"/>
    <x v="4"/>
  </r>
  <r>
    <x v="4"/>
    <x v="3"/>
    <x v="5"/>
    <x v="0"/>
    <n v="2157"/>
    <n v="5"/>
    <n v="15"/>
    <n v="32355"/>
    <n v="3559.05"/>
    <n v="21570"/>
    <x v="4"/>
  </r>
  <r>
    <x v="3"/>
    <x v="4"/>
    <x v="0"/>
    <x v="0"/>
    <n v="2761"/>
    <n v="260"/>
    <n v="12"/>
    <n v="33132"/>
    <n v="3975.84"/>
    <n v="8283"/>
    <x v="13"/>
  </r>
  <r>
    <x v="4"/>
    <x v="3"/>
    <x v="5"/>
    <x v="2"/>
    <n v="2031"/>
    <n v="5"/>
    <n v="15"/>
    <n v="30465"/>
    <n v="1218.5999999999999"/>
    <n v="20310"/>
    <x v="3"/>
  </r>
  <r>
    <x v="4"/>
    <x v="3"/>
    <x v="2"/>
    <x v="2"/>
    <n v="2031"/>
    <n v="10"/>
    <n v="15"/>
    <n v="30465"/>
    <n v="1218.5999999999999"/>
    <n v="20310"/>
    <x v="3"/>
  </r>
  <r>
    <x v="4"/>
    <x v="4"/>
    <x v="4"/>
    <x v="0"/>
    <n v="2300"/>
    <n v="3"/>
    <n v="15"/>
    <n v="34500"/>
    <n v="4830"/>
    <n v="23000"/>
    <x v="4"/>
  </r>
  <r>
    <x v="4"/>
    <x v="4"/>
    <x v="5"/>
    <x v="0"/>
    <n v="2300"/>
    <n v="5"/>
    <n v="15"/>
    <n v="34500"/>
    <n v="4830"/>
    <n v="23000"/>
    <x v="4"/>
  </r>
  <r>
    <x v="1"/>
    <x v="2"/>
    <x v="4"/>
    <x v="0"/>
    <n v="1743"/>
    <n v="3"/>
    <n v="20"/>
    <n v="34860"/>
    <n v="4880.3999999999996"/>
    <n v="17430"/>
    <x v="12"/>
  </r>
  <r>
    <x v="3"/>
    <x v="2"/>
    <x v="0"/>
    <x v="0"/>
    <n v="2914"/>
    <n v="260"/>
    <n v="12"/>
    <n v="34968"/>
    <n v="4895.5200000000004"/>
    <n v="8742"/>
    <x v="3"/>
  </r>
  <r>
    <x v="3"/>
    <x v="2"/>
    <x v="2"/>
    <x v="0"/>
    <n v="2914"/>
    <n v="10"/>
    <n v="12"/>
    <n v="34968"/>
    <n v="4895.5200000000004"/>
    <n v="8742"/>
    <x v="3"/>
  </r>
  <r>
    <x v="1"/>
    <x v="3"/>
    <x v="5"/>
    <x v="0"/>
    <n v="1715"/>
    <n v="5"/>
    <n v="20"/>
    <n v="34300"/>
    <n v="4116"/>
    <n v="17150"/>
    <x v="1"/>
  </r>
  <r>
    <x v="1"/>
    <x v="3"/>
    <x v="2"/>
    <x v="0"/>
    <n v="1715"/>
    <n v="10"/>
    <n v="20"/>
    <n v="34300"/>
    <n v="4116"/>
    <n v="17150"/>
    <x v="1"/>
  </r>
  <r>
    <x v="3"/>
    <x v="4"/>
    <x v="5"/>
    <x v="3"/>
    <n v="2518"/>
    <n v="5"/>
    <n v="12"/>
    <n v="30216"/>
    <n v="0"/>
    <n v="7554"/>
    <x v="10"/>
  </r>
  <r>
    <x v="3"/>
    <x v="4"/>
    <x v="2"/>
    <x v="3"/>
    <n v="2518"/>
    <n v="10"/>
    <n v="12"/>
    <n v="30216"/>
    <n v="0"/>
    <n v="7554"/>
    <x v="10"/>
  </r>
  <r>
    <x v="1"/>
    <x v="2"/>
    <x v="5"/>
    <x v="2"/>
    <n v="1566"/>
    <n v="5"/>
    <n v="20"/>
    <n v="31320"/>
    <n v="626.4"/>
    <n v="15660"/>
    <x v="3"/>
  </r>
  <r>
    <x v="1"/>
    <x v="2"/>
    <x v="1"/>
    <x v="2"/>
    <n v="1566"/>
    <n v="120"/>
    <n v="20"/>
    <n v="31320"/>
    <n v="626.4"/>
    <n v="15660"/>
    <x v="3"/>
  </r>
  <r>
    <x v="3"/>
    <x v="2"/>
    <x v="5"/>
    <x v="1"/>
    <n v="2723"/>
    <n v="5"/>
    <n v="12"/>
    <n v="32676"/>
    <n v="1960.56"/>
    <n v="8169"/>
    <x v="14"/>
  </r>
  <r>
    <x v="1"/>
    <x v="3"/>
    <x v="0"/>
    <x v="1"/>
    <n v="1694"/>
    <n v="260"/>
    <n v="20"/>
    <n v="33880"/>
    <n v="3049.2"/>
    <n v="16940"/>
    <x v="14"/>
  </r>
  <r>
    <x v="3"/>
    <x v="3"/>
    <x v="2"/>
    <x v="1"/>
    <n v="2763"/>
    <n v="10"/>
    <n v="12"/>
    <n v="33156"/>
    <n v="2320.92"/>
    <n v="8289"/>
    <x v="7"/>
  </r>
  <r>
    <x v="4"/>
    <x v="2"/>
    <x v="2"/>
    <x v="1"/>
    <n v="2198"/>
    <n v="10"/>
    <n v="15"/>
    <n v="32970"/>
    <n v="1978.2"/>
    <n v="21980"/>
    <x v="9"/>
  </r>
  <r>
    <x v="1"/>
    <x v="2"/>
    <x v="2"/>
    <x v="2"/>
    <n v="4492.5"/>
    <n v="10"/>
    <n v="7"/>
    <n v="31447.5"/>
    <n v="314.47500000000002"/>
    <n v="22462.5"/>
    <x v="15"/>
  </r>
  <r>
    <x v="4"/>
    <x v="4"/>
    <x v="2"/>
    <x v="0"/>
    <n v="2470"/>
    <n v="10"/>
    <n v="15"/>
    <n v="37050"/>
    <n v="5187"/>
    <n v="24700"/>
    <x v="13"/>
  </r>
  <r>
    <x v="4"/>
    <x v="4"/>
    <x v="2"/>
    <x v="3"/>
    <n v="2152"/>
    <n v="10"/>
    <n v="15"/>
    <n v="32280"/>
    <n v="0"/>
    <n v="21520"/>
    <x v="11"/>
  </r>
  <r>
    <x v="1"/>
    <x v="4"/>
    <x v="4"/>
    <x v="3"/>
    <n v="1618.5"/>
    <n v="3"/>
    <n v="20"/>
    <n v="32370"/>
    <n v="0"/>
    <n v="16185"/>
    <x v="2"/>
  </r>
  <r>
    <x v="4"/>
    <x v="4"/>
    <x v="2"/>
    <x v="0"/>
    <n v="2559"/>
    <n v="10"/>
    <n v="15"/>
    <n v="38385"/>
    <n v="5757.75"/>
    <n v="25590"/>
    <x v="9"/>
  </r>
  <r>
    <x v="4"/>
    <x v="3"/>
    <x v="5"/>
    <x v="2"/>
    <n v="2214"/>
    <n v="5"/>
    <n v="15"/>
    <n v="33210"/>
    <n v="332.1"/>
    <n v="22140"/>
    <x v="0"/>
  </r>
  <r>
    <x v="4"/>
    <x v="2"/>
    <x v="4"/>
    <x v="0"/>
    <n v="2567"/>
    <n v="3"/>
    <n v="15"/>
    <n v="38505"/>
    <n v="5005.6499999999996"/>
    <n v="25670"/>
    <x v="10"/>
  </r>
  <r>
    <x v="4"/>
    <x v="2"/>
    <x v="3"/>
    <x v="0"/>
    <n v="2567"/>
    <n v="250"/>
    <n v="15"/>
    <n v="38505"/>
    <n v="5005.6499999999996"/>
    <n v="25670"/>
    <x v="10"/>
  </r>
  <r>
    <x v="4"/>
    <x v="2"/>
    <x v="0"/>
    <x v="0"/>
    <n v="2548"/>
    <n v="260"/>
    <n v="15"/>
    <n v="38220"/>
    <n v="4586.3999999999996"/>
    <n v="25480"/>
    <x v="7"/>
  </r>
  <r>
    <x v="1"/>
    <x v="3"/>
    <x v="4"/>
    <x v="1"/>
    <n v="1834"/>
    <n v="3"/>
    <n v="20"/>
    <n v="36680"/>
    <n v="2567.6"/>
    <n v="18340"/>
    <x v="13"/>
  </r>
  <r>
    <x v="1"/>
    <x v="4"/>
    <x v="2"/>
    <x v="1"/>
    <n v="1802"/>
    <n v="10"/>
    <n v="20"/>
    <n v="36040"/>
    <n v="1802"/>
    <n v="18020"/>
    <x v="11"/>
  </r>
  <r>
    <x v="4"/>
    <x v="4"/>
    <x v="2"/>
    <x v="2"/>
    <n v="2363"/>
    <n v="10"/>
    <n v="15"/>
    <n v="35445"/>
    <n v="708.9"/>
    <n v="23630"/>
    <x v="6"/>
  </r>
  <r>
    <x v="4"/>
    <x v="4"/>
    <x v="4"/>
    <x v="0"/>
    <n v="2689"/>
    <n v="3"/>
    <n v="15"/>
    <n v="40335"/>
    <n v="4840.2"/>
    <n v="26890"/>
    <x v="14"/>
  </r>
  <r>
    <x v="4"/>
    <x v="3"/>
    <x v="1"/>
    <x v="1"/>
    <n v="2628"/>
    <n v="120"/>
    <n v="15"/>
    <n v="39420"/>
    <n v="3547.8"/>
    <n v="26280"/>
    <x v="15"/>
  </r>
  <r>
    <x v="3"/>
    <x v="4"/>
    <x v="3"/>
    <x v="1"/>
    <n v="3244.5"/>
    <n v="250"/>
    <n v="12"/>
    <n v="38934"/>
    <n v="2725.38"/>
    <n v="9733.5"/>
    <x v="2"/>
  </r>
  <r>
    <x v="1"/>
    <x v="4"/>
    <x v="2"/>
    <x v="3"/>
    <n v="1817"/>
    <n v="10"/>
    <n v="20"/>
    <n v="36340"/>
    <n v="0"/>
    <n v="18170"/>
    <x v="4"/>
  </r>
  <r>
    <x v="1"/>
    <x v="4"/>
    <x v="3"/>
    <x v="3"/>
    <n v="1817"/>
    <n v="250"/>
    <n v="20"/>
    <n v="36340"/>
    <n v="0"/>
    <n v="18170"/>
    <x v="4"/>
  </r>
  <r>
    <x v="1"/>
    <x v="3"/>
    <x v="0"/>
    <x v="0"/>
    <n v="2039"/>
    <n v="260"/>
    <n v="20"/>
    <n v="40780"/>
    <n v="4078"/>
    <n v="20390"/>
    <x v="12"/>
  </r>
  <r>
    <x v="4"/>
    <x v="3"/>
    <x v="4"/>
    <x v="3"/>
    <n v="2470"/>
    <n v="3"/>
    <n v="15"/>
    <n v="37050"/>
    <n v="0"/>
    <n v="24700"/>
    <x v="10"/>
  </r>
  <r>
    <x v="4"/>
    <x v="3"/>
    <x v="5"/>
    <x v="3"/>
    <n v="2470"/>
    <n v="5"/>
    <n v="15"/>
    <n v="37050"/>
    <n v="0"/>
    <n v="24700"/>
    <x v="10"/>
  </r>
  <r>
    <x v="4"/>
    <x v="3"/>
    <x v="2"/>
    <x v="3"/>
    <n v="2472"/>
    <n v="10"/>
    <n v="15"/>
    <n v="37080"/>
    <n v="0"/>
    <n v="24720"/>
    <x v="5"/>
  </r>
  <r>
    <x v="3"/>
    <x v="4"/>
    <x v="0"/>
    <x v="0"/>
    <n v="3520.5"/>
    <n v="260"/>
    <n v="12"/>
    <n v="42246"/>
    <n v="4224.6000000000004"/>
    <n v="10561.5"/>
    <x v="15"/>
  </r>
  <r>
    <x v="2"/>
    <x v="3"/>
    <x v="3"/>
    <x v="0"/>
    <n v="341"/>
    <n v="250"/>
    <n v="125"/>
    <n v="42625"/>
    <n v="4262.5"/>
    <n v="40920"/>
    <x v="12"/>
  </r>
  <r>
    <x v="1"/>
    <x v="3"/>
    <x v="5"/>
    <x v="0"/>
    <n v="2255"/>
    <n v="5"/>
    <n v="20"/>
    <n v="45100"/>
    <n v="5863"/>
    <n v="22550"/>
    <x v="8"/>
  </r>
  <r>
    <x v="4"/>
    <x v="3"/>
    <x v="4"/>
    <x v="1"/>
    <n v="2791"/>
    <n v="3"/>
    <n v="15"/>
    <n v="41865"/>
    <n v="2093.25"/>
    <n v="27910"/>
    <x v="14"/>
  </r>
  <r>
    <x v="1"/>
    <x v="4"/>
    <x v="2"/>
    <x v="2"/>
    <n v="2074"/>
    <n v="10"/>
    <n v="20"/>
    <n v="41480"/>
    <n v="1659.2"/>
    <n v="20740"/>
    <x v="5"/>
  </r>
  <r>
    <x v="4"/>
    <x v="4"/>
    <x v="4"/>
    <x v="1"/>
    <n v="2844"/>
    <n v="3"/>
    <n v="15"/>
    <n v="42660"/>
    <n v="2559.6"/>
    <n v="28440"/>
    <x v="10"/>
  </r>
  <r>
    <x v="4"/>
    <x v="4"/>
    <x v="3"/>
    <x v="1"/>
    <n v="2844"/>
    <n v="250"/>
    <n v="15"/>
    <n v="42660"/>
    <n v="2559.6"/>
    <n v="28440"/>
    <x v="10"/>
  </r>
  <r>
    <x v="4"/>
    <x v="3"/>
    <x v="1"/>
    <x v="1"/>
    <n v="2861"/>
    <n v="120"/>
    <n v="15"/>
    <n v="42915"/>
    <n v="2145.75"/>
    <n v="28610"/>
    <x v="2"/>
  </r>
  <r>
    <x v="2"/>
    <x v="2"/>
    <x v="4"/>
    <x v="2"/>
    <n v="330"/>
    <n v="3"/>
    <n v="125"/>
    <n v="41250"/>
    <n v="412.5"/>
    <n v="39600"/>
    <x v="13"/>
  </r>
  <r>
    <x v="4"/>
    <x v="2"/>
    <x v="2"/>
    <x v="1"/>
    <n v="2931"/>
    <n v="10"/>
    <n v="15"/>
    <n v="43965"/>
    <n v="3077.55"/>
    <n v="29310"/>
    <x v="13"/>
  </r>
  <r>
    <x v="1"/>
    <x v="4"/>
    <x v="2"/>
    <x v="0"/>
    <n v="2428"/>
    <n v="10"/>
    <n v="20"/>
    <n v="48560"/>
    <n v="6798.4"/>
    <n v="24280"/>
    <x v="0"/>
  </r>
  <r>
    <x v="1"/>
    <x v="4"/>
    <x v="2"/>
    <x v="0"/>
    <n v="2394"/>
    <n v="10"/>
    <n v="20"/>
    <n v="47880"/>
    <n v="5266.8"/>
    <n v="23940"/>
    <x v="9"/>
  </r>
  <r>
    <x v="4"/>
    <x v="2"/>
    <x v="0"/>
    <x v="0"/>
    <n v="3199.5"/>
    <n v="260"/>
    <n v="15"/>
    <n v="47992.5"/>
    <n v="5279.1749999999993"/>
    <n v="31995"/>
    <x v="8"/>
  </r>
  <r>
    <x v="3"/>
    <x v="4"/>
    <x v="2"/>
    <x v="0"/>
    <n v="4026"/>
    <n v="10"/>
    <n v="12"/>
    <n v="48312"/>
    <n v="5314.32"/>
    <n v="12078"/>
    <x v="8"/>
  </r>
  <r>
    <x v="2"/>
    <x v="4"/>
    <x v="5"/>
    <x v="3"/>
    <n v="345"/>
    <n v="5"/>
    <n v="125"/>
    <n v="43125"/>
    <n v="0"/>
    <n v="41400"/>
    <x v="1"/>
  </r>
  <r>
    <x v="2"/>
    <x v="4"/>
    <x v="1"/>
    <x v="3"/>
    <n v="345"/>
    <n v="120"/>
    <n v="125"/>
    <n v="43125"/>
    <n v="0"/>
    <n v="41400"/>
    <x v="1"/>
  </r>
  <r>
    <x v="1"/>
    <x v="3"/>
    <x v="4"/>
    <x v="0"/>
    <n v="2579"/>
    <n v="3"/>
    <n v="20"/>
    <n v="51580"/>
    <n v="7221.2"/>
    <n v="25790"/>
    <x v="15"/>
  </r>
  <r>
    <x v="1"/>
    <x v="2"/>
    <x v="2"/>
    <x v="0"/>
    <n v="2641"/>
    <n v="10"/>
    <n v="20"/>
    <n v="52820"/>
    <n v="6866.6"/>
    <n v="26410"/>
    <x v="6"/>
  </r>
  <r>
    <x v="1"/>
    <x v="3"/>
    <x v="0"/>
    <x v="0"/>
    <n v="2629"/>
    <n v="260"/>
    <n v="20"/>
    <n v="52580"/>
    <n v="5783.8"/>
    <n v="26290"/>
    <x v="2"/>
  </r>
  <r>
    <x v="4"/>
    <x v="2"/>
    <x v="2"/>
    <x v="1"/>
    <n v="3675"/>
    <n v="10"/>
    <n v="15"/>
    <n v="55125"/>
    <n v="4961.25"/>
    <n v="36750"/>
    <x v="15"/>
  </r>
  <r>
    <x v="1"/>
    <x v="2"/>
    <x v="2"/>
    <x v="1"/>
    <n v="2663"/>
    <n v="10"/>
    <n v="20"/>
    <n v="53260"/>
    <n v="2663"/>
    <n v="26630"/>
    <x v="4"/>
  </r>
  <r>
    <x v="1"/>
    <x v="2"/>
    <x v="3"/>
    <x v="1"/>
    <n v="2663"/>
    <n v="250"/>
    <n v="20"/>
    <n v="53260"/>
    <n v="2663"/>
    <n v="26630"/>
    <x v="4"/>
  </r>
  <r>
    <x v="1"/>
    <x v="4"/>
    <x v="1"/>
    <x v="2"/>
    <n v="2646"/>
    <n v="120"/>
    <n v="20"/>
    <n v="52920"/>
    <n v="2116.8000000000002"/>
    <n v="26460"/>
    <x v="13"/>
  </r>
  <r>
    <x v="1"/>
    <x v="4"/>
    <x v="3"/>
    <x v="0"/>
    <n v="2935"/>
    <n v="250"/>
    <n v="20"/>
    <n v="58700"/>
    <n v="6457"/>
    <n v="29350"/>
    <x v="7"/>
  </r>
  <r>
    <x v="1"/>
    <x v="2"/>
    <x v="1"/>
    <x v="1"/>
    <n v="2832"/>
    <n v="120"/>
    <n v="20"/>
    <n v="56640"/>
    <n v="2832"/>
    <n v="28320"/>
    <x v="9"/>
  </r>
  <r>
    <x v="1"/>
    <x v="3"/>
    <x v="2"/>
    <x v="1"/>
    <n v="2993"/>
    <n v="10"/>
    <n v="20"/>
    <n v="59860"/>
    <n v="4788.8"/>
    <n v="29930"/>
    <x v="5"/>
  </r>
  <r>
    <x v="1"/>
    <x v="4"/>
    <x v="5"/>
    <x v="0"/>
    <n v="200"/>
    <n v="5"/>
    <n v="350"/>
    <n v="70000"/>
    <n v="9800"/>
    <n v="52000"/>
    <x v="12"/>
  </r>
  <r>
    <x v="2"/>
    <x v="3"/>
    <x v="3"/>
    <x v="0"/>
    <n v="554"/>
    <n v="250"/>
    <n v="125"/>
    <n v="69250"/>
    <n v="7617.5"/>
    <n v="66480"/>
    <x v="2"/>
  </r>
  <r>
    <x v="2"/>
    <x v="4"/>
    <x v="1"/>
    <x v="1"/>
    <n v="567"/>
    <n v="120"/>
    <n v="125"/>
    <n v="70875"/>
    <n v="6378.75"/>
    <n v="68040"/>
    <x v="5"/>
  </r>
  <r>
    <x v="2"/>
    <x v="2"/>
    <x v="0"/>
    <x v="0"/>
    <n v="579"/>
    <n v="260"/>
    <n v="125"/>
    <n v="72375"/>
    <n v="7237.5"/>
    <n v="69480"/>
    <x v="2"/>
  </r>
  <r>
    <x v="0"/>
    <x v="4"/>
    <x v="1"/>
    <x v="0"/>
    <n v="269"/>
    <n v="120"/>
    <n v="300"/>
    <n v="80700"/>
    <n v="11298"/>
    <n v="67250"/>
    <x v="1"/>
  </r>
  <r>
    <x v="0"/>
    <x v="4"/>
    <x v="3"/>
    <x v="0"/>
    <n v="269"/>
    <n v="250"/>
    <n v="300"/>
    <n v="80700"/>
    <n v="11298"/>
    <n v="67250"/>
    <x v="1"/>
  </r>
  <r>
    <x v="1"/>
    <x v="4"/>
    <x v="1"/>
    <x v="2"/>
    <n v="3850.5"/>
    <n v="120"/>
    <n v="20"/>
    <n v="77010"/>
    <n v="2310.3000000000002"/>
    <n v="38505"/>
    <x v="15"/>
  </r>
  <r>
    <x v="2"/>
    <x v="3"/>
    <x v="2"/>
    <x v="2"/>
    <n v="662"/>
    <n v="10"/>
    <n v="125"/>
    <n v="82750"/>
    <n v="1655"/>
    <n v="79440"/>
    <x v="10"/>
  </r>
  <r>
    <x v="2"/>
    <x v="3"/>
    <x v="3"/>
    <x v="2"/>
    <n v="662"/>
    <n v="250"/>
    <n v="125"/>
    <n v="82750"/>
    <n v="1655"/>
    <n v="79440"/>
    <x v="10"/>
  </r>
  <r>
    <x v="2"/>
    <x v="2"/>
    <x v="5"/>
    <x v="2"/>
    <n v="663"/>
    <n v="5"/>
    <n v="125"/>
    <n v="82875"/>
    <n v="828.75"/>
    <n v="79560"/>
    <x v="1"/>
  </r>
  <r>
    <x v="2"/>
    <x v="2"/>
    <x v="1"/>
    <x v="2"/>
    <n v="663"/>
    <n v="120"/>
    <n v="125"/>
    <n v="82875"/>
    <n v="828.75"/>
    <n v="79560"/>
    <x v="1"/>
  </r>
  <r>
    <x v="1"/>
    <x v="2"/>
    <x v="0"/>
    <x v="0"/>
    <n v="270"/>
    <n v="260"/>
    <n v="350"/>
    <n v="94500"/>
    <n v="11340"/>
    <n v="70200"/>
    <x v="6"/>
  </r>
  <r>
    <x v="2"/>
    <x v="2"/>
    <x v="2"/>
    <x v="2"/>
    <n v="727"/>
    <n v="10"/>
    <n v="125"/>
    <n v="90875"/>
    <n v="908.75"/>
    <n v="87240"/>
    <x v="10"/>
  </r>
  <r>
    <x v="2"/>
    <x v="2"/>
    <x v="3"/>
    <x v="2"/>
    <n v="727"/>
    <n v="250"/>
    <n v="125"/>
    <n v="90875"/>
    <n v="908.75"/>
    <n v="87240"/>
    <x v="10"/>
  </r>
  <r>
    <x v="2"/>
    <x v="4"/>
    <x v="4"/>
    <x v="2"/>
    <n v="742.5"/>
    <n v="3"/>
    <n v="125"/>
    <n v="92812.5"/>
    <n v="1856.25"/>
    <n v="89100"/>
    <x v="15"/>
  </r>
  <r>
    <x v="1"/>
    <x v="2"/>
    <x v="3"/>
    <x v="2"/>
    <n v="266"/>
    <n v="250"/>
    <n v="350"/>
    <n v="93100"/>
    <n v="1862"/>
    <n v="69160"/>
    <x v="11"/>
  </r>
  <r>
    <x v="1"/>
    <x v="2"/>
    <x v="4"/>
    <x v="2"/>
    <n v="274"/>
    <n v="3"/>
    <n v="350"/>
    <n v="95900"/>
    <n v="3836"/>
    <n v="71240"/>
    <x v="4"/>
  </r>
  <r>
    <x v="1"/>
    <x v="2"/>
    <x v="2"/>
    <x v="2"/>
    <n v="274"/>
    <n v="10"/>
    <n v="350"/>
    <n v="95900"/>
    <n v="3836"/>
    <n v="71240"/>
    <x v="4"/>
  </r>
  <r>
    <x v="2"/>
    <x v="3"/>
    <x v="3"/>
    <x v="1"/>
    <n v="877"/>
    <n v="250"/>
    <n v="125"/>
    <n v="109625"/>
    <n v="9866.25"/>
    <n v="105240"/>
    <x v="14"/>
  </r>
  <r>
    <x v="2"/>
    <x v="2"/>
    <x v="2"/>
    <x v="1"/>
    <n v="861"/>
    <n v="10"/>
    <n v="125"/>
    <n v="107625"/>
    <n v="5381.25"/>
    <n v="103320"/>
    <x v="3"/>
  </r>
  <r>
    <x v="2"/>
    <x v="2"/>
    <x v="1"/>
    <x v="1"/>
    <n v="861"/>
    <n v="120"/>
    <n v="125"/>
    <n v="107625"/>
    <n v="5381.25"/>
    <n v="103320"/>
    <x v="3"/>
  </r>
  <r>
    <x v="2"/>
    <x v="3"/>
    <x v="0"/>
    <x v="0"/>
    <n v="947"/>
    <n v="260"/>
    <n v="125"/>
    <n v="118375"/>
    <n v="13021.25"/>
    <n v="113640"/>
    <x v="13"/>
  </r>
  <r>
    <x v="1"/>
    <x v="3"/>
    <x v="0"/>
    <x v="0"/>
    <n v="344"/>
    <n v="260"/>
    <n v="350"/>
    <n v="120400"/>
    <n v="13244"/>
    <n v="89440"/>
    <x v="1"/>
  </r>
  <r>
    <x v="1"/>
    <x v="3"/>
    <x v="1"/>
    <x v="0"/>
    <n v="344"/>
    <n v="120"/>
    <n v="350"/>
    <n v="120400"/>
    <n v="13244"/>
    <n v="89440"/>
    <x v="1"/>
  </r>
  <r>
    <x v="2"/>
    <x v="4"/>
    <x v="1"/>
    <x v="1"/>
    <n v="952"/>
    <n v="120"/>
    <n v="125"/>
    <n v="119000"/>
    <n v="7140"/>
    <n v="114240"/>
    <x v="6"/>
  </r>
  <r>
    <x v="2"/>
    <x v="4"/>
    <x v="1"/>
    <x v="2"/>
    <n v="923"/>
    <n v="120"/>
    <n v="125"/>
    <n v="115375"/>
    <n v="1153.75"/>
    <n v="110760"/>
    <x v="9"/>
  </r>
  <r>
    <x v="0"/>
    <x v="3"/>
    <x v="3"/>
    <x v="0"/>
    <n v="432"/>
    <n v="250"/>
    <n v="300"/>
    <n v="129600"/>
    <n v="12960"/>
    <n v="108000"/>
    <x v="5"/>
  </r>
  <r>
    <x v="1"/>
    <x v="2"/>
    <x v="3"/>
    <x v="2"/>
    <n v="349"/>
    <n v="250"/>
    <n v="350"/>
    <n v="122150"/>
    <n v="4886"/>
    <n v="90740"/>
    <x v="13"/>
  </r>
  <r>
    <x v="2"/>
    <x v="3"/>
    <x v="2"/>
    <x v="1"/>
    <n v="1114"/>
    <n v="10"/>
    <n v="125"/>
    <n v="139250"/>
    <n v="11140"/>
    <n v="133680"/>
    <x v="0"/>
  </r>
  <r>
    <x v="2"/>
    <x v="3"/>
    <x v="0"/>
    <x v="2"/>
    <n v="1074"/>
    <n v="260"/>
    <n v="125"/>
    <n v="134250"/>
    <n v="5370"/>
    <n v="128880"/>
    <x v="15"/>
  </r>
  <r>
    <x v="2"/>
    <x v="3"/>
    <x v="5"/>
    <x v="2"/>
    <n v="1138"/>
    <n v="5"/>
    <n v="125"/>
    <n v="142250"/>
    <n v="5690"/>
    <n v="136560"/>
    <x v="4"/>
  </r>
  <r>
    <x v="2"/>
    <x v="3"/>
    <x v="2"/>
    <x v="2"/>
    <n v="1138"/>
    <n v="10"/>
    <n v="125"/>
    <n v="142250"/>
    <n v="5690"/>
    <n v="136560"/>
    <x v="4"/>
  </r>
  <r>
    <x v="0"/>
    <x v="3"/>
    <x v="0"/>
    <x v="0"/>
    <n v="546"/>
    <n v="260"/>
    <n v="300"/>
    <n v="163800"/>
    <n v="24570"/>
    <n v="136500"/>
    <x v="3"/>
  </r>
  <r>
    <x v="0"/>
    <x v="3"/>
    <x v="5"/>
    <x v="0"/>
    <n v="546"/>
    <n v="5"/>
    <n v="300"/>
    <n v="163800"/>
    <n v="24570"/>
    <n v="136500"/>
    <x v="3"/>
  </r>
  <r>
    <x v="0"/>
    <x v="3"/>
    <x v="4"/>
    <x v="2"/>
    <n v="494"/>
    <n v="3"/>
    <n v="300"/>
    <n v="148200"/>
    <n v="1482"/>
    <n v="123500"/>
    <x v="1"/>
  </r>
  <r>
    <x v="0"/>
    <x v="3"/>
    <x v="3"/>
    <x v="2"/>
    <n v="494"/>
    <n v="250"/>
    <n v="300"/>
    <n v="148200"/>
    <n v="1482"/>
    <n v="123500"/>
    <x v="1"/>
  </r>
  <r>
    <x v="0"/>
    <x v="3"/>
    <x v="2"/>
    <x v="0"/>
    <n v="591"/>
    <n v="10"/>
    <n v="300"/>
    <n v="177300"/>
    <n v="17730"/>
    <n v="147750"/>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9">
  <location ref="A3:G11" firstHeaderRow="1" firstDataRow="2" firstDataCol="1"/>
  <pivotFields count="14">
    <pivotField showAll="0">
      <items count="6">
        <item x="3"/>
        <item x="2"/>
        <item x="1"/>
        <item x="4"/>
        <item x="0"/>
        <item t="default"/>
      </items>
    </pivotField>
    <pivotField axis="axisCol" showAll="0">
      <items count="6">
        <item x="3"/>
        <item x="4"/>
        <item x="1"/>
        <item x="0"/>
        <item x="2"/>
        <item t="default"/>
      </items>
    </pivotField>
    <pivotField axis="axisRow" showAll="0">
      <items count="7">
        <item x="3"/>
        <item x="1"/>
        <item x="2"/>
        <item x="5"/>
        <item x="4"/>
        <item x="0"/>
        <item t="default"/>
      </items>
    </pivotField>
    <pivotField showAll="0">
      <items count="5">
        <item x="0"/>
        <item x="2"/>
        <item x="1"/>
        <item x="3"/>
        <item t="default"/>
      </items>
    </pivotField>
    <pivotField numFmtId="1" showAll="0"/>
    <pivotField numFmtId="164" showAll="0"/>
    <pivotField dataField="1" numFmtId="164" showAll="0"/>
    <pivotField numFmtId="164" showAll="0"/>
    <pivotField numFmtId="164" showAll="0"/>
    <pivotField numFmtId="164" showAll="0"/>
    <pivotField numFmtId="14" showAll="0">
      <items count="17">
        <item x="13"/>
        <item x="1"/>
        <item x="7"/>
        <item x="11"/>
        <item x="2"/>
        <item x="6"/>
        <item x="0"/>
        <item x="15"/>
        <item x="12"/>
        <item x="10"/>
        <item x="8"/>
        <item x="9"/>
        <item x="5"/>
        <item x="3"/>
        <item x="14"/>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1"/>
  </colFields>
  <colItems count="6">
    <i>
      <x/>
    </i>
    <i>
      <x v="1"/>
    </i>
    <i>
      <x v="2"/>
    </i>
    <i>
      <x v="3"/>
    </i>
    <i>
      <x v="4"/>
    </i>
    <i t="grand">
      <x/>
    </i>
  </colItems>
  <dataFields count="1">
    <dataField name="Sum of Sale Price" fld="6" baseField="2" baseItem="2"/>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8">
  <location ref="A3:C9" firstHeaderRow="0" firstDataRow="1" firstDataCol="1"/>
  <pivotFields count="14">
    <pivotField axis="axisRow" showAll="0">
      <items count="6">
        <item x="3"/>
        <item x="2"/>
        <item x="1"/>
        <item x="4"/>
        <item x="0"/>
        <item t="default"/>
      </items>
    </pivotField>
    <pivotField showAll="0">
      <items count="6">
        <item x="3"/>
        <item x="4"/>
        <item x="1"/>
        <item x="0"/>
        <item x="2"/>
        <item t="default"/>
      </items>
    </pivotField>
    <pivotField showAll="0">
      <items count="7">
        <item x="3"/>
        <item x="1"/>
        <item x="2"/>
        <item x="5"/>
        <item x="4"/>
        <item x="0"/>
        <item t="default"/>
      </items>
    </pivotField>
    <pivotField showAll="0">
      <items count="5">
        <item x="0"/>
        <item x="2"/>
        <item x="1"/>
        <item x="3"/>
        <item t="default"/>
      </items>
    </pivotField>
    <pivotField dataField="1" numFmtId="1" showAll="0"/>
    <pivotField dataField="1" numFmtId="164" showAll="0"/>
    <pivotField numFmtId="164" showAll="0"/>
    <pivotField numFmtId="164" showAll="0"/>
    <pivotField numFmtId="164" showAll="0"/>
    <pivotField numFmtId="164" showAll="0"/>
    <pivotField numFmtId="14" showAll="0">
      <items count="17">
        <item x="13"/>
        <item x="1"/>
        <item x="7"/>
        <item x="11"/>
        <item x="2"/>
        <item x="6"/>
        <item x="0"/>
        <item x="15"/>
        <item x="12"/>
        <item x="10"/>
        <item x="8"/>
        <item x="9"/>
        <item x="5"/>
        <item x="3"/>
        <item x="14"/>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Fields count="1">
    <field x="-2"/>
  </colFields>
  <colItems count="2">
    <i>
      <x/>
    </i>
    <i i="1">
      <x v="1"/>
    </i>
  </colItems>
  <dataFields count="2">
    <dataField name="Sum of Units Sold" fld="4" baseField="0" baseItem="0"/>
    <dataField name="Sum of Manufacturing Price" fld="5" baseField="0" baseItem="0"/>
  </dataFields>
  <chartFormats count="4">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9">
  <location ref="A3:C8" firstHeaderRow="0" firstDataRow="1" firstDataCol="1"/>
  <pivotFields count="14">
    <pivotField showAll="0">
      <items count="6">
        <item x="3"/>
        <item x="2"/>
        <item x="1"/>
        <item x="4"/>
        <item x="0"/>
        <item t="default"/>
      </items>
    </pivotField>
    <pivotField showAll="0">
      <items count="6">
        <item x="3"/>
        <item x="4"/>
        <item x="1"/>
        <item x="0"/>
        <item x="2"/>
        <item t="default"/>
      </items>
    </pivotField>
    <pivotField showAll="0">
      <items count="7">
        <item x="3"/>
        <item x="1"/>
        <item x="2"/>
        <item x="5"/>
        <item x="4"/>
        <item x="0"/>
        <item t="default"/>
      </items>
    </pivotField>
    <pivotField axis="axisRow" showAll="0">
      <items count="5">
        <item x="0"/>
        <item x="2"/>
        <item x="1"/>
        <item x="3"/>
        <item t="default"/>
      </items>
    </pivotField>
    <pivotField numFmtId="1" showAll="0"/>
    <pivotField numFmtId="164" showAll="0"/>
    <pivotField numFmtId="164" showAll="0"/>
    <pivotField numFmtId="164" showAll="0"/>
    <pivotField dataField="1" numFmtId="164" showAll="0"/>
    <pivotField dataField="1" numFmtId="164" showAll="0"/>
    <pivotField numFmtId="14" showAll="0">
      <items count="17">
        <item x="13"/>
        <item x="1"/>
        <item x="7"/>
        <item x="11"/>
        <item x="2"/>
        <item x="6"/>
        <item x="0"/>
        <item x="15"/>
        <item x="12"/>
        <item x="10"/>
        <item x="8"/>
        <item x="9"/>
        <item x="5"/>
        <item x="3"/>
        <item x="14"/>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2"/>
  </colFields>
  <colItems count="2">
    <i>
      <x/>
    </i>
    <i i="1">
      <x v="1"/>
    </i>
  </colItems>
  <dataFields count="2">
    <dataField name="Sum of COGS" fld="9" baseField="0" baseItem="0"/>
    <dataField name="Sum of Discounts" fld="8" baseField="0" baseItem="0"/>
  </dataField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3:B44" firstHeaderRow="1" firstDataRow="1" firstDataCol="1"/>
  <pivotFields count="14">
    <pivotField showAll="0">
      <items count="6">
        <item x="3"/>
        <item x="2"/>
        <item x="1"/>
        <item x="4"/>
        <item x="0"/>
        <item t="default"/>
      </items>
    </pivotField>
    <pivotField showAll="0">
      <items count="6">
        <item x="3"/>
        <item x="4"/>
        <item x="1"/>
        <item x="0"/>
        <item x="2"/>
        <item t="default"/>
      </items>
    </pivotField>
    <pivotField showAll="0">
      <items count="7">
        <item x="3"/>
        <item x="1"/>
        <item x="2"/>
        <item x="5"/>
        <item x="4"/>
        <item x="0"/>
        <item t="default"/>
      </items>
    </pivotField>
    <pivotField showAll="0">
      <items count="5">
        <item x="0"/>
        <item x="2"/>
        <item x="1"/>
        <item x="3"/>
        <item t="default"/>
      </items>
    </pivotField>
    <pivotField numFmtId="1" showAll="0"/>
    <pivotField numFmtId="164" showAll="0"/>
    <pivotField numFmtId="164" showAll="0"/>
    <pivotField dataField="1" numFmtId="164" showAll="0"/>
    <pivotField numFmtId="164" showAll="0"/>
    <pivotField numFmtId="164" showAll="0"/>
    <pivotField axis="axisRow" numFmtId="14" showAll="0">
      <items count="17">
        <item x="13"/>
        <item x="1"/>
        <item x="7"/>
        <item x="11"/>
        <item x="2"/>
        <item x="6"/>
        <item x="0"/>
        <item x="15"/>
        <item x="12"/>
        <item x="10"/>
        <item x="8"/>
        <item x="9"/>
        <item x="5"/>
        <item x="3"/>
        <item x="14"/>
        <item x="4"/>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13"/>
    <field x="12"/>
    <field x="11"/>
    <field x="10"/>
  </rowFields>
  <rowItems count="41">
    <i>
      <x v="1"/>
    </i>
    <i r="1">
      <x v="3"/>
    </i>
    <i r="2">
      <x v="9"/>
    </i>
    <i r="3">
      <x/>
    </i>
    <i r="1">
      <x v="4"/>
    </i>
    <i r="2">
      <x v="10"/>
    </i>
    <i r="3">
      <x v="1"/>
    </i>
    <i r="2">
      <x v="11"/>
    </i>
    <i r="3">
      <x v="2"/>
    </i>
    <i r="2">
      <x v="12"/>
    </i>
    <i r="3">
      <x v="3"/>
    </i>
    <i>
      <x v="2"/>
    </i>
    <i r="1">
      <x v="1"/>
    </i>
    <i r="2">
      <x v="1"/>
    </i>
    <i r="3">
      <x v="4"/>
    </i>
    <i r="2">
      <x v="2"/>
    </i>
    <i r="3">
      <x v="5"/>
    </i>
    <i r="2">
      <x v="3"/>
    </i>
    <i r="3">
      <x v="6"/>
    </i>
    <i r="1">
      <x v="2"/>
    </i>
    <i r="2">
      <x v="4"/>
    </i>
    <i r="3">
      <x v="7"/>
    </i>
    <i r="2">
      <x v="5"/>
    </i>
    <i r="3">
      <x v="8"/>
    </i>
    <i r="2">
      <x v="6"/>
    </i>
    <i r="3">
      <x v="9"/>
    </i>
    <i r="1">
      <x v="3"/>
    </i>
    <i r="2">
      <x v="7"/>
    </i>
    <i r="3">
      <x v="10"/>
    </i>
    <i r="2">
      <x v="8"/>
    </i>
    <i r="3">
      <x v="11"/>
    </i>
    <i r="2">
      <x v="9"/>
    </i>
    <i r="3">
      <x v="12"/>
    </i>
    <i r="1">
      <x v="4"/>
    </i>
    <i r="2">
      <x v="10"/>
    </i>
    <i r="3">
      <x v="13"/>
    </i>
    <i r="2">
      <x v="11"/>
    </i>
    <i r="3">
      <x v="14"/>
    </i>
    <i r="2">
      <x v="12"/>
    </i>
    <i r="3">
      <x v="15"/>
    </i>
    <i t="grand">
      <x/>
    </i>
  </rowItems>
  <colItems count="1">
    <i/>
  </colItems>
  <dataFields count="1">
    <dataField name="Sum of Gross Sales" fld="7" baseField="0" baseItem="0"/>
  </dataFields>
  <chartFormats count="2">
    <chartFormat chart="0" format="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1"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3">
  <location ref="A1:F8" firstHeaderRow="1" firstDataRow="2" firstDataCol="1"/>
  <pivotFields count="14">
    <pivotField showAll="0">
      <items count="6">
        <item x="3"/>
        <item x="2"/>
        <item x="1"/>
        <item x="4"/>
        <item x="0"/>
        <item t="default"/>
      </items>
    </pivotField>
    <pivotField axis="axisRow" showAll="0">
      <items count="6">
        <item x="3"/>
        <item x="4"/>
        <item x="1"/>
        <item x="0"/>
        <item x="2"/>
        <item t="default"/>
      </items>
    </pivotField>
    <pivotField showAll="0">
      <items count="7">
        <item x="3"/>
        <item x="1"/>
        <item x="2"/>
        <item x="5"/>
        <item x="4"/>
        <item x="0"/>
        <item t="default"/>
      </items>
    </pivotField>
    <pivotField axis="axisCol" showAll="0">
      <items count="5">
        <item x="0"/>
        <item x="2"/>
        <item x="1"/>
        <item x="3"/>
        <item t="default"/>
      </items>
    </pivotField>
    <pivotField dataField="1" numFmtId="1" showAll="0"/>
    <pivotField numFmtId="164" showAll="0"/>
    <pivotField numFmtId="164" showAll="0"/>
    <pivotField numFmtId="164" showAll="0"/>
    <pivotField numFmtId="164" showAll="0"/>
    <pivotField numFmtId="164" showAll="0"/>
    <pivotField numFmtId="14" showAll="0">
      <items count="17">
        <item x="13"/>
        <item x="1"/>
        <item x="7"/>
        <item x="11"/>
        <item x="2"/>
        <item x="6"/>
        <item x="0"/>
        <item x="15"/>
        <item x="12"/>
        <item x="10"/>
        <item x="8"/>
        <item x="9"/>
        <item x="5"/>
        <item x="3"/>
        <item x="14"/>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3"/>
  </colFields>
  <colItems count="5">
    <i>
      <x/>
    </i>
    <i>
      <x v="1"/>
    </i>
    <i>
      <x v="2"/>
    </i>
    <i>
      <x v="3"/>
    </i>
    <i t="grand">
      <x/>
    </i>
  </colItems>
  <dataFields count="1">
    <dataField name="Sum of Units Sold" fld="4" baseField="0" baseItem="0"/>
  </dataFields>
  <chartFormats count="8">
    <chartFormat chart="0" format="1" series="1">
      <pivotArea type="data" outline="0" fieldPosition="0">
        <references count="2">
          <reference field="4294967294" count="1" selected="0">
            <x v="0"/>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0"/>
          </reference>
          <reference field="3" count="1" selected="0">
            <x v="2"/>
          </reference>
        </references>
      </pivotArea>
    </chartFormat>
    <chartFormat chart="0" format="4" series="1">
      <pivotArea type="data" outline="0" fieldPosition="0">
        <references count="2">
          <reference field="4294967294" count="1" selected="0">
            <x v="0"/>
          </reference>
          <reference field="3" count="1" selected="0">
            <x v="3"/>
          </reference>
        </references>
      </pivotArea>
    </chartFormat>
    <chartFormat chart="3" format="9" series="1">
      <pivotArea type="data" outline="0" fieldPosition="0">
        <references count="2">
          <reference field="4294967294" count="1" selected="0">
            <x v="0"/>
          </reference>
          <reference field="3" count="1" selected="0">
            <x v="0"/>
          </reference>
        </references>
      </pivotArea>
    </chartFormat>
    <chartFormat chart="3" format="10" series="1">
      <pivotArea type="data" outline="0" fieldPosition="0">
        <references count="2">
          <reference field="4294967294" count="1" selected="0">
            <x v="0"/>
          </reference>
          <reference field="3" count="1" selected="0">
            <x v="1"/>
          </reference>
        </references>
      </pivotArea>
    </chartFormat>
    <chartFormat chart="3" format="11" series="1">
      <pivotArea type="data" outline="0" fieldPosition="0">
        <references count="2">
          <reference field="4294967294" count="1" selected="0">
            <x v="0"/>
          </reference>
          <reference field="3" count="1" selected="0">
            <x v="2"/>
          </reference>
        </references>
      </pivotArea>
    </chartFormat>
    <chartFormat chart="3" format="12"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3"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8">
  <location ref="A1:B8" firstHeaderRow="1" firstDataRow="1" firstDataCol="1"/>
  <pivotFields count="14">
    <pivotField showAll="0">
      <items count="6">
        <item x="3"/>
        <item x="2"/>
        <item x="1"/>
        <item x="4"/>
        <item x="0"/>
        <item t="default"/>
      </items>
    </pivotField>
    <pivotField showAll="0">
      <items count="6">
        <item x="3"/>
        <item x="4"/>
        <item x="1"/>
        <item x="0"/>
        <item x="2"/>
        <item t="default"/>
      </items>
    </pivotField>
    <pivotField axis="axisRow" showAll="0">
      <items count="7">
        <item x="3"/>
        <item x="1"/>
        <item x="2"/>
        <item x="5"/>
        <item x="4"/>
        <item x="0"/>
        <item t="default"/>
      </items>
    </pivotField>
    <pivotField showAll="0">
      <items count="5">
        <item x="0"/>
        <item x="2"/>
        <item x="1"/>
        <item x="3"/>
        <item t="default"/>
      </items>
    </pivotField>
    <pivotField numFmtId="1" showAll="0"/>
    <pivotField numFmtId="164" showAll="0"/>
    <pivotField numFmtId="164" showAll="0"/>
    <pivotField numFmtId="164" showAll="0"/>
    <pivotField numFmtId="164" showAll="0"/>
    <pivotField dataField="1" numFmtId="164" showAll="0"/>
    <pivotField numFmtId="14" showAll="0">
      <items count="17">
        <item x="13"/>
        <item x="1"/>
        <item x="7"/>
        <item x="11"/>
        <item x="2"/>
        <item x="6"/>
        <item x="0"/>
        <item x="15"/>
        <item x="12"/>
        <item x="10"/>
        <item x="8"/>
        <item x="9"/>
        <item x="5"/>
        <item x="3"/>
        <item x="14"/>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COGS" fld="9" baseField="0" baseItem="0"/>
  </dataFields>
  <chartFormats count="14">
    <chartFormat chart="0" format="9">
      <pivotArea type="data" outline="0" fieldPosition="0">
        <references count="2">
          <reference field="4294967294" count="1" selected="0">
            <x v="0"/>
          </reference>
          <reference field="2" count="1" selected="0">
            <x v="0"/>
          </reference>
        </references>
      </pivotArea>
    </chartFormat>
    <chartFormat chart="0" format="10">
      <pivotArea type="data" outline="0" fieldPosition="0">
        <references count="2">
          <reference field="4294967294" count="1" selected="0">
            <x v="0"/>
          </reference>
          <reference field="2" count="1" selected="0">
            <x v="1"/>
          </reference>
        </references>
      </pivotArea>
    </chartFormat>
    <chartFormat chart="0" format="11">
      <pivotArea type="data" outline="0" fieldPosition="0">
        <references count="2">
          <reference field="4294967294" count="1" selected="0">
            <x v="0"/>
          </reference>
          <reference field="2" count="1" selected="0">
            <x v="2"/>
          </reference>
        </references>
      </pivotArea>
    </chartFormat>
    <chartFormat chart="0" format="12">
      <pivotArea type="data" outline="0" fieldPosition="0">
        <references count="2">
          <reference field="4294967294" count="1" selected="0">
            <x v="0"/>
          </reference>
          <reference field="2" count="1" selected="0">
            <x v="3"/>
          </reference>
        </references>
      </pivotArea>
    </chartFormat>
    <chartFormat chart="0" format="13">
      <pivotArea type="data" outline="0" fieldPosition="0">
        <references count="2">
          <reference field="4294967294" count="1" selected="0">
            <x v="0"/>
          </reference>
          <reference field="2" count="1" selected="0">
            <x v="4"/>
          </reference>
        </references>
      </pivotArea>
    </chartFormat>
    <chartFormat chart="0" format="14">
      <pivotArea type="data" outline="0" fieldPosition="0">
        <references count="2">
          <reference field="4294967294" count="1" selected="0">
            <x v="0"/>
          </reference>
          <reference field="2" count="1" selected="0">
            <x v="5"/>
          </reference>
        </references>
      </pivotArea>
    </chartFormat>
    <chartFormat chart="0" format="15" series="1">
      <pivotArea type="data" outline="0" fieldPosition="0">
        <references count="1">
          <reference field="4294967294" count="1" selected="0">
            <x v="0"/>
          </reference>
        </references>
      </pivotArea>
    </chartFormat>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2" count="1" selected="0">
            <x v="0"/>
          </reference>
        </references>
      </pivotArea>
    </chartFormat>
    <chartFormat chart="2" format="25">
      <pivotArea type="data" outline="0" fieldPosition="0">
        <references count="2">
          <reference field="4294967294" count="1" selected="0">
            <x v="0"/>
          </reference>
          <reference field="2" count="1" selected="0">
            <x v="1"/>
          </reference>
        </references>
      </pivotArea>
    </chartFormat>
    <chartFormat chart="2" format="26">
      <pivotArea type="data" outline="0" fieldPosition="0">
        <references count="2">
          <reference field="4294967294" count="1" selected="0">
            <x v="0"/>
          </reference>
          <reference field="2" count="1" selected="0">
            <x v="2"/>
          </reference>
        </references>
      </pivotArea>
    </chartFormat>
    <chartFormat chart="2" format="27">
      <pivotArea type="data" outline="0" fieldPosition="0">
        <references count="2">
          <reference field="4294967294" count="1" selected="0">
            <x v="0"/>
          </reference>
          <reference field="2" count="1" selected="0">
            <x v="3"/>
          </reference>
        </references>
      </pivotArea>
    </chartFormat>
    <chartFormat chart="2" format="28">
      <pivotArea type="data" outline="0" fieldPosition="0">
        <references count="2">
          <reference field="4294967294" count="1" selected="0">
            <x v="0"/>
          </reference>
          <reference field="2" count="1" selected="0">
            <x v="4"/>
          </reference>
        </references>
      </pivotArea>
    </chartFormat>
    <chartFormat chart="2" format="29">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1:B18" firstHeaderRow="1" firstDataRow="1" firstDataCol="1"/>
  <pivotFields count="14">
    <pivotField showAll="0">
      <items count="6">
        <item x="3"/>
        <item x="2"/>
        <item x="1"/>
        <item x="4"/>
        <item x="0"/>
        <item t="default"/>
      </items>
    </pivotField>
    <pivotField showAll="0">
      <items count="6">
        <item x="3"/>
        <item x="4"/>
        <item x="1"/>
        <item x="0"/>
        <item x="2"/>
        <item t="default"/>
      </items>
    </pivotField>
    <pivotField showAll="0">
      <items count="7">
        <item x="3"/>
        <item x="1"/>
        <item x="2"/>
        <item x="5"/>
        <item x="4"/>
        <item x="0"/>
        <item t="default"/>
      </items>
    </pivotField>
    <pivotField showAll="0">
      <items count="5">
        <item x="0"/>
        <item x="2"/>
        <item x="1"/>
        <item x="3"/>
        <item t="default"/>
      </items>
    </pivotField>
    <pivotField numFmtId="1" showAll="0"/>
    <pivotField numFmtId="164" showAll="0"/>
    <pivotField dataField="1" numFmtId="164" showAll="0"/>
    <pivotField numFmtId="164" showAll="0"/>
    <pivotField numFmtId="164" showAll="0"/>
    <pivotField numFmtId="164" showAll="0"/>
    <pivotField axis="axisRow" numFmtId="14" showAll="0">
      <items count="17">
        <item x="13"/>
        <item x="1"/>
        <item x="7"/>
        <item x="11"/>
        <item x="2"/>
        <item x="6"/>
        <item x="0"/>
        <item x="15"/>
        <item x="12"/>
        <item x="10"/>
        <item x="8"/>
        <item x="9"/>
        <item x="5"/>
        <item x="3"/>
        <item x="14"/>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7">
    <i>
      <x/>
    </i>
    <i>
      <x v="1"/>
    </i>
    <i>
      <x v="2"/>
    </i>
    <i>
      <x v="3"/>
    </i>
    <i>
      <x v="4"/>
    </i>
    <i>
      <x v="5"/>
    </i>
    <i>
      <x v="6"/>
    </i>
    <i>
      <x v="7"/>
    </i>
    <i>
      <x v="8"/>
    </i>
    <i>
      <x v="9"/>
    </i>
    <i>
      <x v="10"/>
    </i>
    <i>
      <x v="11"/>
    </i>
    <i>
      <x v="12"/>
    </i>
    <i>
      <x v="13"/>
    </i>
    <i>
      <x v="14"/>
    </i>
    <i>
      <x v="15"/>
    </i>
    <i t="grand">
      <x/>
    </i>
  </rowItems>
  <colItems count="1">
    <i/>
  </colItems>
  <dataFields count="1">
    <dataField name="Sum of Sale Price" fld="6"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7000000}" name="PivotTable5"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7">
  <location ref="A1:B7" firstHeaderRow="1" firstDataRow="1" firstDataCol="1"/>
  <pivotFields count="14">
    <pivotField axis="axisRow" showAll="0">
      <items count="6">
        <item x="3"/>
        <item x="2"/>
        <item x="1"/>
        <item x="4"/>
        <item x="0"/>
        <item t="default"/>
      </items>
    </pivotField>
    <pivotField showAll="0">
      <items count="6">
        <item x="3"/>
        <item x="4"/>
        <item x="1"/>
        <item x="0"/>
        <item x="2"/>
        <item t="default"/>
      </items>
    </pivotField>
    <pivotField showAll="0">
      <items count="7">
        <item x="3"/>
        <item x="1"/>
        <item x="2"/>
        <item x="5"/>
        <item x="4"/>
        <item x="0"/>
        <item t="default"/>
      </items>
    </pivotField>
    <pivotField showAll="0">
      <items count="5">
        <item x="0"/>
        <item x="2"/>
        <item x="1"/>
        <item x="3"/>
        <item t="default"/>
      </items>
    </pivotField>
    <pivotField numFmtId="1" showAll="0"/>
    <pivotField numFmtId="164" showAll="0"/>
    <pivotField dataField="1" numFmtId="164" showAll="0"/>
    <pivotField numFmtId="164" showAll="0"/>
    <pivotField numFmtId="164" showAll="0"/>
    <pivotField numFmtId="164" showAll="0"/>
    <pivotField numFmtId="14" showAll="0">
      <items count="17">
        <item x="13"/>
        <item x="1"/>
        <item x="7"/>
        <item x="11"/>
        <item x="2"/>
        <item x="6"/>
        <item x="0"/>
        <item x="15"/>
        <item x="12"/>
        <item x="10"/>
        <item x="8"/>
        <item x="9"/>
        <item x="5"/>
        <item x="3"/>
        <item x="14"/>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Sale Price" fld="6" baseField="0" baseItem="0"/>
  </dataFields>
  <chartFormats count="12">
    <chartFormat chart="0" format="2"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2"/>
          </reference>
        </references>
      </pivotArea>
    </chartFormat>
    <chartFormat chart="0" format="10">
      <pivotArea type="data" outline="0" fieldPosition="0">
        <references count="2">
          <reference field="4294967294" count="1" selected="0">
            <x v="0"/>
          </reference>
          <reference field="0" count="1" selected="0">
            <x v="3"/>
          </reference>
        </references>
      </pivotArea>
    </chartFormat>
    <chartFormat chart="0" format="11">
      <pivotArea type="data" outline="0" fieldPosition="0">
        <references count="2">
          <reference field="4294967294" count="1" selected="0">
            <x v="0"/>
          </reference>
          <reference field="0" count="1" selected="0">
            <x v="4"/>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 chart="3" format="21">
      <pivotArea type="data" outline="0" fieldPosition="0">
        <references count="2">
          <reference field="4294967294" count="1" selected="0">
            <x v="0"/>
          </reference>
          <reference field="0" count="1" selected="0">
            <x v="2"/>
          </reference>
        </references>
      </pivotArea>
    </chartFormat>
    <chartFormat chart="3" format="22">
      <pivotArea type="data" outline="0" fieldPosition="0">
        <references count="2">
          <reference field="4294967294" count="1" selected="0">
            <x v="0"/>
          </reference>
          <reference field="0" count="1" selected="0">
            <x v="3"/>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6"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7">
  <location ref="A1:B7" firstHeaderRow="1" firstDataRow="1" firstDataCol="1"/>
  <pivotFields count="14">
    <pivotField showAll="0">
      <items count="6">
        <item x="3"/>
        <item x="2"/>
        <item x="1"/>
        <item x="4"/>
        <item x="0"/>
        <item t="default"/>
      </items>
    </pivotField>
    <pivotField axis="axisRow" showAll="0">
      <items count="6">
        <item x="3"/>
        <item x="4"/>
        <item x="1"/>
        <item x="0"/>
        <item x="2"/>
        <item t="default"/>
      </items>
    </pivotField>
    <pivotField showAll="0">
      <items count="7">
        <item x="3"/>
        <item x="1"/>
        <item x="2"/>
        <item x="5"/>
        <item x="4"/>
        <item x="0"/>
        <item t="default"/>
      </items>
    </pivotField>
    <pivotField showAll="0">
      <items count="5">
        <item x="0"/>
        <item x="2"/>
        <item x="1"/>
        <item x="3"/>
        <item t="default"/>
      </items>
    </pivotField>
    <pivotField numFmtId="1" showAll="0"/>
    <pivotField numFmtId="164" showAll="0"/>
    <pivotField dataField="1" numFmtId="164" showAll="0"/>
    <pivotField numFmtId="164" showAll="0"/>
    <pivotField numFmtId="164" showAll="0"/>
    <pivotField numFmtId="164" showAll="0"/>
    <pivotField numFmtId="14" showAll="0">
      <items count="17">
        <item x="13"/>
        <item x="1"/>
        <item x="7"/>
        <item x="11"/>
        <item x="2"/>
        <item x="6"/>
        <item x="0"/>
        <item x="15"/>
        <item x="12"/>
        <item x="10"/>
        <item x="8"/>
        <item x="9"/>
        <item x="5"/>
        <item x="3"/>
        <item x="14"/>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Sale Price" fld="6" baseField="0" baseItem="0"/>
  </dataFields>
  <chartFormats count="18">
    <chartFormat chart="0" format="2"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 chart="0" format="9">
      <pivotArea type="data" outline="0" fieldPosition="0">
        <references count="2">
          <reference field="4294967294" count="1" selected="0">
            <x v="0"/>
          </reference>
          <reference field="1" count="1" selected="0">
            <x v="1"/>
          </reference>
        </references>
      </pivotArea>
    </chartFormat>
    <chartFormat chart="0" format="10">
      <pivotArea type="data" outline="0" fieldPosition="0">
        <references count="2">
          <reference field="4294967294" count="1" selected="0">
            <x v="0"/>
          </reference>
          <reference field="1" count="1" selected="0">
            <x v="2"/>
          </reference>
        </references>
      </pivotArea>
    </chartFormat>
    <chartFormat chart="0" format="11">
      <pivotArea type="data" outline="0" fieldPosition="0">
        <references count="2">
          <reference field="4294967294" count="1" selected="0">
            <x v="0"/>
          </reference>
          <reference field="1" count="1" selected="0">
            <x v="3"/>
          </reference>
        </references>
      </pivotArea>
    </chartFormat>
    <chartFormat chart="0" format="12">
      <pivotArea type="data" outline="0" fieldPosition="0">
        <references count="2">
          <reference field="4294967294" count="1" selected="0">
            <x v="0"/>
          </reference>
          <reference field="1" count="1" selected="0">
            <x v="4"/>
          </reference>
        </references>
      </pivotArea>
    </chartFormat>
    <chartFormat chart="1" format="13" series="1">
      <pivotArea type="data" outline="0" fieldPosition="0">
        <references count="1">
          <reference field="4294967294" count="1" selected="0">
            <x v="0"/>
          </reference>
        </references>
      </pivotArea>
    </chartFormat>
    <chartFormat chart="1" format="14">
      <pivotArea type="data" outline="0" fieldPosition="0">
        <references count="2">
          <reference field="4294967294" count="1" selected="0">
            <x v="0"/>
          </reference>
          <reference field="1" count="1" selected="0">
            <x v="0"/>
          </reference>
        </references>
      </pivotArea>
    </chartFormat>
    <chartFormat chart="1" format="15">
      <pivotArea type="data" outline="0" fieldPosition="0">
        <references count="2">
          <reference field="4294967294" count="1" selected="0">
            <x v="0"/>
          </reference>
          <reference field="1" count="1" selected="0">
            <x v="1"/>
          </reference>
        </references>
      </pivotArea>
    </chartFormat>
    <chartFormat chart="1" format="16">
      <pivotArea type="data" outline="0" fieldPosition="0">
        <references count="2">
          <reference field="4294967294" count="1" selected="0">
            <x v="0"/>
          </reference>
          <reference field="1" count="1" selected="0">
            <x v="2"/>
          </reference>
        </references>
      </pivotArea>
    </chartFormat>
    <chartFormat chart="1" format="17">
      <pivotArea type="data" outline="0" fieldPosition="0">
        <references count="2">
          <reference field="4294967294" count="1" selected="0">
            <x v="0"/>
          </reference>
          <reference field="1" count="1" selected="0">
            <x v="3"/>
          </reference>
        </references>
      </pivotArea>
    </chartFormat>
    <chartFormat chart="1" format="18">
      <pivotArea type="data" outline="0" fieldPosition="0">
        <references count="2">
          <reference field="4294967294" count="1" selected="0">
            <x v="0"/>
          </reference>
          <reference field="1" count="1" selected="0">
            <x v="4"/>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1" count="1" selected="0">
            <x v="0"/>
          </reference>
        </references>
      </pivotArea>
    </chartFormat>
    <chartFormat chart="2" format="21">
      <pivotArea type="data" outline="0" fieldPosition="0">
        <references count="2">
          <reference field="4294967294" count="1" selected="0">
            <x v="0"/>
          </reference>
          <reference field="1" count="1" selected="0">
            <x v="1"/>
          </reference>
        </references>
      </pivotArea>
    </chartFormat>
    <chartFormat chart="2" format="22">
      <pivotArea type="data" outline="0" fieldPosition="0">
        <references count="2">
          <reference field="4294967294" count="1" selected="0">
            <x v="0"/>
          </reference>
          <reference field="1" count="1" selected="0">
            <x v="2"/>
          </reference>
        </references>
      </pivotArea>
    </chartFormat>
    <chartFormat chart="2" format="23">
      <pivotArea type="data" outline="0" fieldPosition="0">
        <references count="2">
          <reference field="4294967294" count="1" selected="0">
            <x v="0"/>
          </reference>
          <reference field="1" count="1" selected="0">
            <x v="3"/>
          </reference>
        </references>
      </pivotArea>
    </chartFormat>
    <chartFormat chart="2" format="2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1000000}" sourceName="Segment">
  <pivotTables>
    <pivotTable tabId="2" name="PivotTable1"/>
    <pivotTable tabId="11" name="PivotTable4"/>
    <pivotTable tabId="10" name="PivotTable3"/>
    <pivotTable tabId="13" name="PivotTable6"/>
    <pivotTable tabId="8" name="PivotTable1"/>
    <pivotTable tabId="7" name="PivotTable4"/>
    <pivotTable tabId="6" name="PivotTable3"/>
  </pivotTables>
  <data>
    <tabular pivotCacheId="1">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2000000}" sourceName="Country">
  <pivotTables>
    <pivotTable tabId="12" name="PivotTable5"/>
    <pivotTable tabId="11" name="PivotTable4"/>
    <pivotTable tabId="10" name="PivotTable3"/>
    <pivotTable tabId="7" name="PivotTable4"/>
    <pivotTable tabId="6" name="PivotTable3"/>
    <pivotTable tabId="5" name="PivotTable2"/>
  </pivotTables>
  <data>
    <tabular pivotCacheId="1">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3000000}" sourceName="Product">
  <pivotTables>
    <pivotTable tabId="12" name="PivotTable5"/>
    <pivotTable tabId="11" name="PivotTable4"/>
    <pivotTable tabId="13" name="PivotTable6"/>
    <pivotTable tabId="8" name="PivotTable1"/>
    <pivotTable tabId="7" name="PivotTable4"/>
    <pivotTable tabId="6" name="PivotTable3"/>
    <pivotTable tabId="5" name="PivotTable2"/>
  </pivotTables>
  <data>
    <tabular pivotCacheId="1">
      <items count="6">
        <i x="0" s="1"/>
        <i x="4" s="1"/>
        <i x="5"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00000000-0013-0000-FFFF-FFFF04000000}" sourceName="Discount Band">
  <pivotTables>
    <pivotTable tabId="2" name="PivotTable1"/>
    <pivotTable tabId="12" name="PivotTable5"/>
    <pivotTable tabId="11" name="PivotTable4"/>
    <pivotTable tabId="10" name="PivotTable3"/>
    <pivotTable tabId="13" name="PivotTable6"/>
    <pivotTable tabId="7" name="PivotTable4"/>
    <pivotTable tabId="5" name="PivotTable2"/>
  </pivotTables>
  <data>
    <tabular pivotCacheId="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0000000-0014-0000-FFFF-FFFF01000000}" cache="Slicer_Segment" caption="Segment" rowHeight="241300"/>
  <slicer name="Country" xr10:uid="{00000000-0014-0000-FFFF-FFFF02000000}" cache="Slicer_Country" caption="Country" rowHeight="241300"/>
  <slicer name="Product" xr10:uid="{00000000-0014-0000-FFFF-FFFF03000000}" cache="Slicer_Product" caption="Product" rowHeight="241300"/>
  <slicer name="Discount Band" xr10:uid="{00000000-0014-0000-FFFF-FFFF04000000}" cache="Slicer_Discount_Band" caption="Discount Ban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00000000-0014-0000-FFFF-FFFF06000000}" cache="Slicer_Segment" caption="Seg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0000000-0014-0000-FFFF-FFFF08000000}" cache="Slicer_Product" caption="Produc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E54605C3-F51F-4603-85FD-0F933FD0C4B7}" cache="Slicer_Segment" caption="Segment" columnCount="5" style="SlicerStyleDark5" rowHeight="241300"/>
  <slicer name="Country 1" xr10:uid="{30287CD4-5CD0-41AE-BAE7-40CC56865355}" cache="Slicer_Country" caption="Country" columnCount="5" style="SlicerStyleDark5" rowHeight="241300"/>
  <slicer name="Product 2" xr10:uid="{7CED35E4-1167-4CA2-A309-7793380418A1}" cache="Slicer_Product" caption="Product" columnCount="6" style="SlicerStyleDark5" rowHeight="241300"/>
  <slicer name="Discount Band 1" xr10:uid="{69B19106-EF2D-4161-B2C6-CF35F13BB13F}" cache="Slicer_Discount_Band" caption="Discount Band" columnCount="4"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94" totalsRowShown="0">
  <autoFilter ref="A1:K94" xr:uid="{00000000-0009-0000-0100-000001000000}"/>
  <tableColumns count="11">
    <tableColumn id="1" xr3:uid="{00000000-0010-0000-0000-000001000000}" name="Segment"/>
    <tableColumn id="2" xr3:uid="{00000000-0010-0000-0000-000002000000}" name="Country"/>
    <tableColumn id="3" xr3:uid="{00000000-0010-0000-0000-000003000000}" name="Product"/>
    <tableColumn id="4" xr3:uid="{00000000-0010-0000-0000-000004000000}" name="Discount Band"/>
    <tableColumn id="5" xr3:uid="{00000000-0010-0000-0000-000005000000}" name="Units Sold"/>
    <tableColumn id="6" xr3:uid="{00000000-0010-0000-0000-000006000000}" name="Manufacturing Price"/>
    <tableColumn id="7" xr3:uid="{00000000-0010-0000-0000-000007000000}" name="Sale Price"/>
    <tableColumn id="8" xr3:uid="{00000000-0010-0000-0000-000008000000}" name="Gross Sales"/>
    <tableColumn id="9" xr3:uid="{00000000-0010-0000-0000-000009000000}" name="Discounts"/>
    <tableColumn id="10" xr3:uid="{00000000-0010-0000-0000-00000A000000}" name="COGS"/>
    <tableColumn id="11" xr3:uid="{00000000-0010-0000-0000-00000B000000}" name="Date"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K41" totalsRowShown="0">
  <autoFilter ref="A1:K41" xr:uid="{00000000-0009-0000-0100-000002000000}"/>
  <tableColumns count="11">
    <tableColumn id="1" xr3:uid="{00000000-0010-0000-0100-000001000000}" name="Segment"/>
    <tableColumn id="2" xr3:uid="{00000000-0010-0000-0100-000002000000}" name="Country"/>
    <tableColumn id="3" xr3:uid="{00000000-0010-0000-0100-000003000000}" name="Product"/>
    <tableColumn id="4" xr3:uid="{00000000-0010-0000-0100-000004000000}" name="Discount Band"/>
    <tableColumn id="5" xr3:uid="{00000000-0010-0000-0100-000005000000}" name="Units Sold"/>
    <tableColumn id="6" xr3:uid="{00000000-0010-0000-0100-000006000000}" name="Manufacturing Price"/>
    <tableColumn id="7" xr3:uid="{00000000-0010-0000-0100-000007000000}" name="Sale Price"/>
    <tableColumn id="8" xr3:uid="{00000000-0010-0000-0100-000008000000}" name="Gross Sales"/>
    <tableColumn id="9" xr3:uid="{00000000-0010-0000-0100-000009000000}" name="Discounts"/>
    <tableColumn id="10" xr3:uid="{00000000-0010-0000-0100-00000A000000}" name="COGS"/>
    <tableColumn id="11" xr3:uid="{00000000-0010-0000-0100-00000B000000}"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5000000}" sourceName="Date">
  <pivotTables>
    <pivotTable tabId="13" name="PivotTable6"/>
    <pivotTable tabId="8" name="PivotTable1"/>
    <pivotTable tabId="10" name="PivotTable3"/>
    <pivotTable tabId="2" name="PivotTable1"/>
    <pivotTable tabId="6" name="PivotTable3"/>
    <pivotTable tabId="5" name="PivotTable2"/>
    <pivotTable tabId="12" name="PivotTable5"/>
  </pivotTables>
  <state minimalRefreshVersion="6" lastRefreshVersion="6" pivotCacheId="1" filterType="unknown">
    <bounds startDate="2013-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5000000}" cache="NativeTimeline_Date" caption="Date" level="2" selectionLevel="2" scrollPosition="2014-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0000000-0014-0000-FFFF-FFFF07000000}" cache="NativeTimeline_Date" caption="Date" level="2" selectionLevel="2" scrollPosition="2014-06-0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82D80DB-870F-43DE-9DF5-D1CFF782548C}" cache="NativeTimeline_Date" caption="Date" level="3" selectionLevel="2" scrollPosition="2015-03-1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4.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4"/>
  <sheetViews>
    <sheetView topLeftCell="A13" workbookViewId="0">
      <selection activeCell="O27" sqref="O27"/>
    </sheetView>
  </sheetViews>
  <sheetFormatPr defaultRowHeight="14.4" x14ac:dyDescent="0.3"/>
  <cols>
    <col min="1" max="1" width="11" customWidth="1"/>
    <col min="2" max="2" width="10.109375" customWidth="1"/>
    <col min="3" max="3" width="10" customWidth="1"/>
    <col min="4" max="4" width="15.6640625" customWidth="1"/>
    <col min="5" max="5" width="12.109375" customWidth="1"/>
    <col min="6" max="6" width="21" customWidth="1"/>
    <col min="7" max="7" width="11.6640625" customWidth="1"/>
    <col min="8" max="8" width="13.109375" customWidth="1"/>
    <col min="9" max="9" width="11.6640625" customWidth="1"/>
    <col min="11" max="11" width="10.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25</v>
      </c>
      <c r="C2" t="s">
        <v>27</v>
      </c>
      <c r="D2" t="s">
        <v>14</v>
      </c>
      <c r="E2">
        <v>546</v>
      </c>
      <c r="F2">
        <v>5</v>
      </c>
      <c r="G2">
        <v>300</v>
      </c>
      <c r="H2">
        <v>163800</v>
      </c>
      <c r="I2">
        <v>24570</v>
      </c>
      <c r="J2">
        <v>136500</v>
      </c>
      <c r="K2" s="17">
        <v>41913</v>
      </c>
    </row>
    <row r="3" spans="1:11" x14ac:dyDescent="0.3">
      <c r="A3" t="s">
        <v>28</v>
      </c>
      <c r="B3" t="s">
        <v>25</v>
      </c>
      <c r="C3" t="s">
        <v>27</v>
      </c>
      <c r="D3" t="s">
        <v>19</v>
      </c>
      <c r="E3">
        <v>1138</v>
      </c>
      <c r="F3">
        <v>5</v>
      </c>
      <c r="G3">
        <v>125</v>
      </c>
      <c r="H3">
        <v>142250</v>
      </c>
      <c r="I3">
        <v>5690</v>
      </c>
      <c r="J3">
        <v>136560</v>
      </c>
      <c r="K3" s="17">
        <v>41974</v>
      </c>
    </row>
    <row r="4" spans="1:11" x14ac:dyDescent="0.3">
      <c r="A4" t="s">
        <v>28</v>
      </c>
      <c r="B4" t="s">
        <v>24</v>
      </c>
      <c r="C4" t="s">
        <v>27</v>
      </c>
      <c r="D4" t="s">
        <v>19</v>
      </c>
      <c r="E4">
        <v>663</v>
      </c>
      <c r="F4">
        <v>5</v>
      </c>
      <c r="G4">
        <v>125</v>
      </c>
      <c r="H4">
        <v>82875</v>
      </c>
      <c r="I4">
        <v>828.75</v>
      </c>
      <c r="J4">
        <v>79560</v>
      </c>
      <c r="K4" s="17">
        <v>41548</v>
      </c>
    </row>
    <row r="5" spans="1:11" x14ac:dyDescent="0.3">
      <c r="A5" t="s">
        <v>15</v>
      </c>
      <c r="B5" t="s">
        <v>26</v>
      </c>
      <c r="C5" t="s">
        <v>27</v>
      </c>
      <c r="D5" t="s">
        <v>14</v>
      </c>
      <c r="E5">
        <v>200</v>
      </c>
      <c r="F5">
        <v>5</v>
      </c>
      <c r="G5">
        <v>350</v>
      </c>
      <c r="H5">
        <v>70000</v>
      </c>
      <c r="I5">
        <v>9800</v>
      </c>
      <c r="J5">
        <v>52000</v>
      </c>
      <c r="K5" s="17">
        <v>41760</v>
      </c>
    </row>
    <row r="6" spans="1:11" x14ac:dyDescent="0.3">
      <c r="A6" t="s">
        <v>28</v>
      </c>
      <c r="B6" t="s">
        <v>26</v>
      </c>
      <c r="C6" t="s">
        <v>27</v>
      </c>
      <c r="D6" t="s">
        <v>22</v>
      </c>
      <c r="E6">
        <v>345</v>
      </c>
      <c r="F6">
        <v>5</v>
      </c>
      <c r="G6">
        <v>125</v>
      </c>
      <c r="H6">
        <v>43125</v>
      </c>
      <c r="I6">
        <v>0</v>
      </c>
      <c r="J6">
        <v>41400</v>
      </c>
      <c r="K6" s="17">
        <v>41548</v>
      </c>
    </row>
    <row r="7" spans="1:11" x14ac:dyDescent="0.3">
      <c r="A7" t="s">
        <v>15</v>
      </c>
      <c r="B7" t="s">
        <v>25</v>
      </c>
      <c r="C7" t="s">
        <v>27</v>
      </c>
      <c r="D7" t="s">
        <v>14</v>
      </c>
      <c r="E7">
        <v>2255</v>
      </c>
      <c r="F7">
        <v>5</v>
      </c>
      <c r="G7">
        <v>20</v>
      </c>
      <c r="H7">
        <v>45100</v>
      </c>
      <c r="I7">
        <v>5863</v>
      </c>
      <c r="J7">
        <v>22550</v>
      </c>
      <c r="K7" s="17">
        <v>41821</v>
      </c>
    </row>
    <row r="8" spans="1:11" x14ac:dyDescent="0.3">
      <c r="A8" t="s">
        <v>30</v>
      </c>
      <c r="B8" t="s">
        <v>25</v>
      </c>
      <c r="C8" t="s">
        <v>27</v>
      </c>
      <c r="D8" t="s">
        <v>22</v>
      </c>
      <c r="E8">
        <v>2470</v>
      </c>
      <c r="F8">
        <v>5</v>
      </c>
      <c r="G8">
        <v>15</v>
      </c>
      <c r="H8">
        <v>37050</v>
      </c>
      <c r="I8">
        <v>0</v>
      </c>
      <c r="J8">
        <v>24700</v>
      </c>
      <c r="K8" s="17">
        <v>41791</v>
      </c>
    </row>
    <row r="9" spans="1:11" x14ac:dyDescent="0.3">
      <c r="A9" t="s">
        <v>30</v>
      </c>
      <c r="B9" t="s">
        <v>25</v>
      </c>
      <c r="C9" t="s">
        <v>27</v>
      </c>
      <c r="D9" t="s">
        <v>19</v>
      </c>
      <c r="E9">
        <v>2214</v>
      </c>
      <c r="F9">
        <v>5</v>
      </c>
      <c r="G9">
        <v>15</v>
      </c>
      <c r="H9">
        <v>33210</v>
      </c>
      <c r="I9">
        <v>332.1</v>
      </c>
      <c r="J9">
        <v>22140</v>
      </c>
      <c r="K9" s="17">
        <v>41699</v>
      </c>
    </row>
    <row r="10" spans="1:11" x14ac:dyDescent="0.3">
      <c r="A10" t="s">
        <v>29</v>
      </c>
      <c r="B10" t="s">
        <v>24</v>
      </c>
      <c r="C10" t="s">
        <v>27</v>
      </c>
      <c r="D10" t="s">
        <v>16</v>
      </c>
      <c r="E10">
        <v>2723</v>
      </c>
      <c r="F10">
        <v>5</v>
      </c>
      <c r="G10">
        <v>12</v>
      </c>
      <c r="H10">
        <v>32676</v>
      </c>
      <c r="I10">
        <v>1960.56</v>
      </c>
      <c r="J10">
        <v>8169</v>
      </c>
      <c r="K10" s="17">
        <v>41944</v>
      </c>
    </row>
    <row r="11" spans="1:11" x14ac:dyDescent="0.3">
      <c r="A11" t="s">
        <v>15</v>
      </c>
      <c r="B11" t="s">
        <v>24</v>
      </c>
      <c r="C11" t="s">
        <v>27</v>
      </c>
      <c r="D11" t="s">
        <v>19</v>
      </c>
      <c r="E11">
        <v>1566</v>
      </c>
      <c r="F11">
        <v>5</v>
      </c>
      <c r="G11">
        <v>20</v>
      </c>
      <c r="H11">
        <v>31320</v>
      </c>
      <c r="I11">
        <v>626.4</v>
      </c>
      <c r="J11">
        <v>15660</v>
      </c>
      <c r="K11" s="17">
        <v>41913</v>
      </c>
    </row>
    <row r="12" spans="1:11" x14ac:dyDescent="0.3">
      <c r="A12" t="s">
        <v>29</v>
      </c>
      <c r="B12" t="s">
        <v>26</v>
      </c>
      <c r="C12" t="s">
        <v>27</v>
      </c>
      <c r="D12" t="s">
        <v>22</v>
      </c>
      <c r="E12">
        <v>2518</v>
      </c>
      <c r="F12">
        <v>5</v>
      </c>
      <c r="G12">
        <v>12</v>
      </c>
      <c r="H12">
        <v>30216</v>
      </c>
      <c r="I12">
        <v>0</v>
      </c>
      <c r="J12">
        <v>7554</v>
      </c>
      <c r="K12" s="17">
        <v>41791</v>
      </c>
    </row>
    <row r="13" spans="1:11" x14ac:dyDescent="0.3">
      <c r="A13" t="s">
        <v>15</v>
      </c>
      <c r="B13" t="s">
        <v>25</v>
      </c>
      <c r="C13" t="s">
        <v>27</v>
      </c>
      <c r="D13" t="s">
        <v>14</v>
      </c>
      <c r="E13">
        <v>1715</v>
      </c>
      <c r="F13">
        <v>5</v>
      </c>
      <c r="G13">
        <v>20</v>
      </c>
      <c r="H13">
        <v>34300</v>
      </c>
      <c r="I13">
        <v>4116</v>
      </c>
      <c r="J13">
        <v>17150</v>
      </c>
      <c r="K13" s="17">
        <v>41548</v>
      </c>
    </row>
    <row r="14" spans="1:11" x14ac:dyDescent="0.3">
      <c r="A14" t="s">
        <v>30</v>
      </c>
      <c r="B14" t="s">
        <v>26</v>
      </c>
      <c r="C14" t="s">
        <v>27</v>
      </c>
      <c r="D14" t="s">
        <v>14</v>
      </c>
      <c r="E14">
        <v>2300</v>
      </c>
      <c r="F14">
        <v>5</v>
      </c>
      <c r="G14">
        <v>15</v>
      </c>
      <c r="H14">
        <v>34500</v>
      </c>
      <c r="I14">
        <v>4830</v>
      </c>
      <c r="J14">
        <v>23000</v>
      </c>
      <c r="K14" s="17">
        <v>41974</v>
      </c>
    </row>
    <row r="15" spans="1:11" x14ac:dyDescent="0.3">
      <c r="A15" t="s">
        <v>30</v>
      </c>
      <c r="B15" t="s">
        <v>25</v>
      </c>
      <c r="C15" t="s">
        <v>27</v>
      </c>
      <c r="D15" t="s">
        <v>19</v>
      </c>
      <c r="E15">
        <v>2031</v>
      </c>
      <c r="F15">
        <v>5</v>
      </c>
      <c r="G15">
        <v>15</v>
      </c>
      <c r="H15">
        <v>30465</v>
      </c>
      <c r="I15">
        <v>1218.5999999999999</v>
      </c>
      <c r="J15">
        <v>20310</v>
      </c>
      <c r="K15" s="17">
        <v>41913</v>
      </c>
    </row>
    <row r="16" spans="1:11" x14ac:dyDescent="0.3">
      <c r="A16" t="s">
        <v>30</v>
      </c>
      <c r="B16" t="s">
        <v>25</v>
      </c>
      <c r="C16" t="s">
        <v>27</v>
      </c>
      <c r="D16" t="s">
        <v>14</v>
      </c>
      <c r="E16">
        <v>2157</v>
      </c>
      <c r="F16">
        <v>5</v>
      </c>
      <c r="G16">
        <v>15</v>
      </c>
      <c r="H16">
        <v>32355</v>
      </c>
      <c r="I16">
        <v>3559.05</v>
      </c>
      <c r="J16">
        <v>21570</v>
      </c>
      <c r="K16" s="17">
        <v>41974</v>
      </c>
    </row>
    <row r="17" spans="1:11" x14ac:dyDescent="0.3">
      <c r="A17" t="s">
        <v>30</v>
      </c>
      <c r="B17" t="s">
        <v>26</v>
      </c>
      <c r="C17" t="s">
        <v>27</v>
      </c>
      <c r="D17" t="s">
        <v>19</v>
      </c>
      <c r="E17">
        <v>1967</v>
      </c>
      <c r="F17">
        <v>5</v>
      </c>
      <c r="G17">
        <v>15</v>
      </c>
      <c r="H17">
        <v>29505</v>
      </c>
      <c r="I17">
        <v>1180.2</v>
      </c>
      <c r="J17">
        <v>19670</v>
      </c>
      <c r="K17" s="17">
        <v>41699</v>
      </c>
    </row>
    <row r="18" spans="1:11" x14ac:dyDescent="0.3">
      <c r="A18" t="s">
        <v>29</v>
      </c>
      <c r="B18" t="s">
        <v>25</v>
      </c>
      <c r="C18" t="s">
        <v>27</v>
      </c>
      <c r="D18" t="s">
        <v>14</v>
      </c>
      <c r="E18">
        <v>2661</v>
      </c>
      <c r="F18">
        <v>5</v>
      </c>
      <c r="G18">
        <v>12</v>
      </c>
      <c r="H18">
        <v>31932</v>
      </c>
      <c r="I18">
        <v>3831.84</v>
      </c>
      <c r="J18">
        <v>7983</v>
      </c>
      <c r="K18" s="17">
        <v>41760</v>
      </c>
    </row>
    <row r="19" spans="1:11" x14ac:dyDescent="0.3">
      <c r="A19" t="s">
        <v>29</v>
      </c>
      <c r="B19" t="s">
        <v>25</v>
      </c>
      <c r="C19" t="s">
        <v>27</v>
      </c>
      <c r="D19" t="s">
        <v>16</v>
      </c>
      <c r="E19">
        <v>2340</v>
      </c>
      <c r="F19">
        <v>5</v>
      </c>
      <c r="G19">
        <v>12</v>
      </c>
      <c r="H19">
        <v>28080</v>
      </c>
      <c r="I19">
        <v>1965.6</v>
      </c>
      <c r="J19">
        <v>7020</v>
      </c>
      <c r="K19" s="17">
        <v>41640</v>
      </c>
    </row>
    <row r="20" spans="1:11" x14ac:dyDescent="0.3">
      <c r="A20" t="s">
        <v>29</v>
      </c>
      <c r="B20" t="s">
        <v>26</v>
      </c>
      <c r="C20" t="s">
        <v>27</v>
      </c>
      <c r="D20" t="s">
        <v>16</v>
      </c>
      <c r="E20">
        <v>2321</v>
      </c>
      <c r="F20">
        <v>5</v>
      </c>
      <c r="G20">
        <v>12</v>
      </c>
      <c r="H20">
        <v>27852</v>
      </c>
      <c r="I20">
        <v>2506.6799999999998</v>
      </c>
      <c r="J20">
        <v>6963</v>
      </c>
      <c r="K20" s="17">
        <v>41944</v>
      </c>
    </row>
    <row r="21" spans="1:11" x14ac:dyDescent="0.3">
      <c r="A21" t="s">
        <v>15</v>
      </c>
      <c r="B21" t="s">
        <v>24</v>
      </c>
      <c r="C21" t="s">
        <v>27</v>
      </c>
      <c r="D21" t="s">
        <v>16</v>
      </c>
      <c r="E21">
        <v>1282</v>
      </c>
      <c r="F21">
        <v>5</v>
      </c>
      <c r="G21">
        <v>20</v>
      </c>
      <c r="H21">
        <v>25640</v>
      </c>
      <c r="I21">
        <v>2051.1999999999998</v>
      </c>
      <c r="J21">
        <v>12820</v>
      </c>
      <c r="K21" s="17">
        <v>41791</v>
      </c>
    </row>
    <row r="22" spans="1:11" x14ac:dyDescent="0.3">
      <c r="A22" t="s">
        <v>15</v>
      </c>
      <c r="B22" t="s">
        <v>26</v>
      </c>
      <c r="C22" t="s">
        <v>27</v>
      </c>
      <c r="D22" t="s">
        <v>14</v>
      </c>
      <c r="E22">
        <v>1249</v>
      </c>
      <c r="F22">
        <v>5</v>
      </c>
      <c r="G22">
        <v>20</v>
      </c>
      <c r="H22">
        <v>24980</v>
      </c>
      <c r="I22">
        <v>3247.4</v>
      </c>
      <c r="J22">
        <v>12490</v>
      </c>
      <c r="K22" s="17">
        <v>41913</v>
      </c>
    </row>
    <row r="23" spans="1:11" x14ac:dyDescent="0.3">
      <c r="A23" t="s">
        <v>15</v>
      </c>
      <c r="B23" t="s">
        <v>26</v>
      </c>
      <c r="C23" t="s">
        <v>27</v>
      </c>
      <c r="D23" t="s">
        <v>19</v>
      </c>
      <c r="E23">
        <v>2851</v>
      </c>
      <c r="F23">
        <v>5</v>
      </c>
      <c r="G23">
        <v>7</v>
      </c>
      <c r="H23">
        <v>19957</v>
      </c>
      <c r="I23">
        <v>798.28</v>
      </c>
      <c r="J23">
        <v>14255</v>
      </c>
      <c r="K23" s="17">
        <v>41548</v>
      </c>
    </row>
    <row r="24" spans="1:11" x14ac:dyDescent="0.3">
      <c r="A24" t="s">
        <v>15</v>
      </c>
      <c r="B24" t="s">
        <v>24</v>
      </c>
      <c r="C24" t="s">
        <v>27</v>
      </c>
      <c r="D24" t="s">
        <v>14</v>
      </c>
      <c r="E24">
        <v>2996</v>
      </c>
      <c r="F24">
        <v>5</v>
      </c>
      <c r="G24">
        <v>7</v>
      </c>
      <c r="H24">
        <v>20972</v>
      </c>
      <c r="I24">
        <v>2936.08</v>
      </c>
      <c r="J24">
        <v>14980</v>
      </c>
      <c r="K24" s="17">
        <v>41548</v>
      </c>
    </row>
    <row r="25" spans="1:11" x14ac:dyDescent="0.3">
      <c r="A25" t="s">
        <v>15</v>
      </c>
      <c r="B25" t="s">
        <v>26</v>
      </c>
      <c r="C25" t="s">
        <v>27</v>
      </c>
      <c r="D25" t="s">
        <v>14</v>
      </c>
      <c r="E25">
        <v>2734</v>
      </c>
      <c r="F25">
        <v>5</v>
      </c>
      <c r="G25">
        <v>7</v>
      </c>
      <c r="H25">
        <v>19138</v>
      </c>
      <c r="I25">
        <v>2296.56</v>
      </c>
      <c r="J25">
        <v>13670</v>
      </c>
      <c r="K25" s="17">
        <v>41913</v>
      </c>
    </row>
    <row r="26" spans="1:11" x14ac:dyDescent="0.3">
      <c r="A26" t="s">
        <v>15</v>
      </c>
      <c r="B26" t="s">
        <v>25</v>
      </c>
      <c r="C26" t="s">
        <v>27</v>
      </c>
      <c r="D26" t="s">
        <v>14</v>
      </c>
      <c r="E26">
        <v>2420</v>
      </c>
      <c r="F26">
        <v>5</v>
      </c>
      <c r="G26">
        <v>7</v>
      </c>
      <c r="H26">
        <v>16940</v>
      </c>
      <c r="I26">
        <v>2032.8</v>
      </c>
      <c r="J26">
        <v>12100</v>
      </c>
      <c r="K26" s="17">
        <v>41883</v>
      </c>
    </row>
    <row r="27" spans="1:11" x14ac:dyDescent="0.3">
      <c r="A27" t="s">
        <v>15</v>
      </c>
      <c r="B27" t="s">
        <v>26</v>
      </c>
      <c r="C27" t="s">
        <v>27</v>
      </c>
      <c r="D27" t="s">
        <v>14</v>
      </c>
      <c r="E27">
        <v>2227.5</v>
      </c>
      <c r="F27">
        <v>5</v>
      </c>
      <c r="G27">
        <v>350</v>
      </c>
      <c r="H27">
        <v>779625</v>
      </c>
      <c r="I27">
        <v>109147.5</v>
      </c>
      <c r="J27">
        <v>579150</v>
      </c>
      <c r="K27" s="17">
        <v>41640</v>
      </c>
    </row>
    <row r="28" spans="1:11" x14ac:dyDescent="0.3">
      <c r="A28" t="s">
        <v>15</v>
      </c>
      <c r="B28" t="s">
        <v>24</v>
      </c>
      <c r="C28" t="s">
        <v>27</v>
      </c>
      <c r="D28" t="s">
        <v>14</v>
      </c>
      <c r="E28">
        <v>2328</v>
      </c>
      <c r="F28">
        <v>5</v>
      </c>
      <c r="G28">
        <v>7</v>
      </c>
      <c r="H28">
        <v>16296</v>
      </c>
      <c r="I28">
        <v>1629.6</v>
      </c>
      <c r="J28">
        <v>11640</v>
      </c>
      <c r="K28" s="17">
        <v>41883</v>
      </c>
    </row>
    <row r="29" spans="1:11" x14ac:dyDescent="0.3">
      <c r="A29" t="s">
        <v>29</v>
      </c>
      <c r="B29" t="s">
        <v>24</v>
      </c>
      <c r="C29" t="s">
        <v>27</v>
      </c>
      <c r="D29" t="s">
        <v>19</v>
      </c>
      <c r="E29">
        <v>1142</v>
      </c>
      <c r="F29">
        <v>5</v>
      </c>
      <c r="G29">
        <v>12</v>
      </c>
      <c r="H29">
        <v>13704</v>
      </c>
      <c r="I29">
        <v>274.08</v>
      </c>
      <c r="J29">
        <v>3426</v>
      </c>
      <c r="K29" s="17">
        <v>41791</v>
      </c>
    </row>
    <row r="30" spans="1:11" x14ac:dyDescent="0.3">
      <c r="A30" t="s">
        <v>15</v>
      </c>
      <c r="B30" t="s">
        <v>26</v>
      </c>
      <c r="C30" t="s">
        <v>27</v>
      </c>
      <c r="D30" t="s">
        <v>16</v>
      </c>
      <c r="E30">
        <v>708</v>
      </c>
      <c r="F30">
        <v>5</v>
      </c>
      <c r="G30">
        <v>20</v>
      </c>
      <c r="H30">
        <v>14160</v>
      </c>
      <c r="I30">
        <v>1132.8</v>
      </c>
      <c r="J30">
        <v>7080</v>
      </c>
      <c r="K30" s="17">
        <v>41791</v>
      </c>
    </row>
    <row r="31" spans="1:11" x14ac:dyDescent="0.3">
      <c r="A31" t="s">
        <v>15</v>
      </c>
      <c r="B31" t="s">
        <v>26</v>
      </c>
      <c r="C31" t="s">
        <v>27</v>
      </c>
      <c r="D31" t="s">
        <v>19</v>
      </c>
      <c r="E31">
        <v>1830</v>
      </c>
      <c r="F31">
        <v>5</v>
      </c>
      <c r="G31">
        <v>7</v>
      </c>
      <c r="H31">
        <v>12810</v>
      </c>
      <c r="I31">
        <v>128.1</v>
      </c>
      <c r="J31">
        <v>9150</v>
      </c>
      <c r="K31" s="17">
        <v>41852</v>
      </c>
    </row>
    <row r="32" spans="1:11" x14ac:dyDescent="0.3">
      <c r="A32" t="s">
        <v>15</v>
      </c>
      <c r="B32" t="s">
        <v>25</v>
      </c>
      <c r="C32" t="s">
        <v>27</v>
      </c>
      <c r="D32" t="s">
        <v>14</v>
      </c>
      <c r="E32">
        <v>1727</v>
      </c>
      <c r="F32">
        <v>5</v>
      </c>
      <c r="G32">
        <v>7</v>
      </c>
      <c r="H32">
        <v>12089</v>
      </c>
      <c r="I32">
        <v>1692.46</v>
      </c>
      <c r="J32">
        <v>8635</v>
      </c>
      <c r="K32" s="17">
        <v>41548</v>
      </c>
    </row>
    <row r="33" spans="1:11" x14ac:dyDescent="0.3">
      <c r="A33" t="s">
        <v>15</v>
      </c>
      <c r="B33" t="s">
        <v>26</v>
      </c>
      <c r="C33" t="s">
        <v>27</v>
      </c>
      <c r="D33" t="s">
        <v>16</v>
      </c>
      <c r="E33">
        <v>1611</v>
      </c>
      <c r="F33">
        <v>5</v>
      </c>
      <c r="G33">
        <v>7</v>
      </c>
      <c r="H33">
        <v>11277</v>
      </c>
      <c r="I33">
        <v>1014.93</v>
      </c>
      <c r="J33">
        <v>8055</v>
      </c>
      <c r="K33" s="17">
        <v>41609</v>
      </c>
    </row>
    <row r="34" spans="1:11" x14ac:dyDescent="0.3">
      <c r="A34" t="s">
        <v>15</v>
      </c>
      <c r="B34" t="s">
        <v>24</v>
      </c>
      <c r="C34" t="s">
        <v>27</v>
      </c>
      <c r="D34" t="s">
        <v>14</v>
      </c>
      <c r="E34">
        <v>2313</v>
      </c>
      <c r="F34">
        <v>5</v>
      </c>
      <c r="G34">
        <v>350</v>
      </c>
      <c r="H34">
        <v>809550</v>
      </c>
      <c r="I34">
        <v>80955</v>
      </c>
      <c r="J34">
        <v>601380</v>
      </c>
      <c r="K34" s="17">
        <v>41760</v>
      </c>
    </row>
    <row r="35" spans="1:11" x14ac:dyDescent="0.3">
      <c r="A35" t="s">
        <v>11</v>
      </c>
      <c r="B35" t="s">
        <v>24</v>
      </c>
      <c r="C35" t="s">
        <v>27</v>
      </c>
      <c r="D35" t="s">
        <v>19</v>
      </c>
      <c r="E35">
        <v>2498</v>
      </c>
      <c r="F35">
        <v>5</v>
      </c>
      <c r="G35">
        <v>300</v>
      </c>
      <c r="H35">
        <v>749400</v>
      </c>
      <c r="I35">
        <v>7494</v>
      </c>
      <c r="J35">
        <v>624500</v>
      </c>
      <c r="K35" s="17">
        <v>41518</v>
      </c>
    </row>
    <row r="36" spans="1:11" x14ac:dyDescent="0.3">
      <c r="A36" t="s">
        <v>30</v>
      </c>
      <c r="B36" t="s">
        <v>24</v>
      </c>
      <c r="C36" t="s">
        <v>27</v>
      </c>
      <c r="D36" t="s">
        <v>22</v>
      </c>
      <c r="E36">
        <v>615</v>
      </c>
      <c r="F36">
        <v>5</v>
      </c>
      <c r="G36">
        <v>15</v>
      </c>
      <c r="H36">
        <v>9225</v>
      </c>
      <c r="I36">
        <v>0</v>
      </c>
      <c r="J36">
        <v>6150</v>
      </c>
      <c r="K36" s="17">
        <v>41974</v>
      </c>
    </row>
    <row r="37" spans="1:11" x14ac:dyDescent="0.3">
      <c r="A37" t="s">
        <v>30</v>
      </c>
      <c r="B37" t="s">
        <v>24</v>
      </c>
      <c r="C37" t="s">
        <v>27</v>
      </c>
      <c r="D37" t="s">
        <v>14</v>
      </c>
      <c r="E37">
        <v>677</v>
      </c>
      <c r="F37">
        <v>5</v>
      </c>
      <c r="G37">
        <v>15</v>
      </c>
      <c r="H37">
        <v>10155</v>
      </c>
      <c r="I37">
        <v>1218.5999999999999</v>
      </c>
      <c r="J37">
        <v>6770</v>
      </c>
      <c r="K37" s="17">
        <v>41699</v>
      </c>
    </row>
    <row r="38" spans="1:11" x14ac:dyDescent="0.3">
      <c r="A38" t="s">
        <v>15</v>
      </c>
      <c r="B38" t="s">
        <v>25</v>
      </c>
      <c r="C38" t="s">
        <v>27</v>
      </c>
      <c r="D38" t="s">
        <v>14</v>
      </c>
      <c r="E38">
        <v>1368</v>
      </c>
      <c r="F38">
        <v>5</v>
      </c>
      <c r="G38">
        <v>7</v>
      </c>
      <c r="H38">
        <v>9576</v>
      </c>
      <c r="I38">
        <v>1436.4</v>
      </c>
      <c r="J38">
        <v>6840</v>
      </c>
      <c r="K38" s="17">
        <v>41671</v>
      </c>
    </row>
    <row r="39" spans="1:11" x14ac:dyDescent="0.3">
      <c r="A39" t="s">
        <v>29</v>
      </c>
      <c r="B39" t="s">
        <v>25</v>
      </c>
      <c r="C39" t="s">
        <v>27</v>
      </c>
      <c r="D39" t="s">
        <v>19</v>
      </c>
      <c r="E39">
        <v>690</v>
      </c>
      <c r="F39">
        <v>5</v>
      </c>
      <c r="G39">
        <v>12</v>
      </c>
      <c r="H39">
        <v>8280</v>
      </c>
      <c r="I39">
        <v>165.6</v>
      </c>
      <c r="J39">
        <v>2070</v>
      </c>
      <c r="K39" s="17">
        <v>41944</v>
      </c>
    </row>
    <row r="40" spans="1:11" x14ac:dyDescent="0.3">
      <c r="A40" t="s">
        <v>15</v>
      </c>
      <c r="B40" t="s">
        <v>24</v>
      </c>
      <c r="C40" t="s">
        <v>27</v>
      </c>
      <c r="D40" t="s">
        <v>14</v>
      </c>
      <c r="E40">
        <v>1298</v>
      </c>
      <c r="F40">
        <v>5</v>
      </c>
      <c r="G40">
        <v>7</v>
      </c>
      <c r="H40">
        <v>9086</v>
      </c>
      <c r="I40">
        <v>1181.18</v>
      </c>
      <c r="J40">
        <v>6490</v>
      </c>
      <c r="K40" s="17">
        <v>41671</v>
      </c>
    </row>
    <row r="41" spans="1:11" x14ac:dyDescent="0.3">
      <c r="A41" t="s">
        <v>29</v>
      </c>
      <c r="B41" t="s">
        <v>25</v>
      </c>
      <c r="C41" t="s">
        <v>27</v>
      </c>
      <c r="D41" t="s">
        <v>14</v>
      </c>
      <c r="E41">
        <v>604</v>
      </c>
      <c r="F41">
        <v>5</v>
      </c>
      <c r="G41">
        <v>12</v>
      </c>
      <c r="H41">
        <v>7248</v>
      </c>
      <c r="I41">
        <v>942.24</v>
      </c>
      <c r="J41">
        <v>1812</v>
      </c>
      <c r="K41" s="17">
        <v>41791</v>
      </c>
    </row>
    <row r="42" spans="1:11" x14ac:dyDescent="0.3">
      <c r="A42" t="s">
        <v>11</v>
      </c>
      <c r="B42" t="s">
        <v>23</v>
      </c>
      <c r="C42" t="s">
        <v>27</v>
      </c>
      <c r="D42" t="s">
        <v>16</v>
      </c>
      <c r="E42">
        <v>334</v>
      </c>
      <c r="F42">
        <v>5</v>
      </c>
      <c r="G42">
        <v>300</v>
      </c>
      <c r="H42">
        <v>100200</v>
      </c>
      <c r="I42">
        <v>9018</v>
      </c>
      <c r="J42">
        <v>83500</v>
      </c>
      <c r="K42" s="17">
        <v>41609</v>
      </c>
    </row>
    <row r="43" spans="1:11" x14ac:dyDescent="0.3">
      <c r="A43" t="s">
        <v>15</v>
      </c>
      <c r="B43" t="s">
        <v>23</v>
      </c>
      <c r="C43" t="s">
        <v>27</v>
      </c>
      <c r="D43" t="s">
        <v>14</v>
      </c>
      <c r="E43">
        <v>2992</v>
      </c>
      <c r="F43">
        <v>5</v>
      </c>
      <c r="G43">
        <v>20</v>
      </c>
      <c r="H43">
        <v>59840</v>
      </c>
      <c r="I43">
        <v>6582.4</v>
      </c>
      <c r="J43">
        <v>29920</v>
      </c>
      <c r="K43" s="17">
        <v>41548</v>
      </c>
    </row>
    <row r="44" spans="1:11" x14ac:dyDescent="0.3">
      <c r="A44" t="s">
        <v>29</v>
      </c>
      <c r="B44" t="s">
        <v>23</v>
      </c>
      <c r="C44" t="s">
        <v>27</v>
      </c>
      <c r="D44" t="s">
        <v>16</v>
      </c>
      <c r="E44">
        <v>2342</v>
      </c>
      <c r="F44">
        <v>5</v>
      </c>
      <c r="G44">
        <v>12</v>
      </c>
      <c r="H44">
        <v>28104</v>
      </c>
      <c r="I44">
        <v>1405.2</v>
      </c>
      <c r="J44">
        <v>7026</v>
      </c>
      <c r="K44" s="17">
        <v>41944</v>
      </c>
    </row>
    <row r="45" spans="1:11" x14ac:dyDescent="0.3">
      <c r="A45" t="s">
        <v>29</v>
      </c>
      <c r="B45" t="s">
        <v>23</v>
      </c>
      <c r="C45" t="s">
        <v>27</v>
      </c>
      <c r="D45" t="s">
        <v>22</v>
      </c>
      <c r="E45">
        <v>1545</v>
      </c>
      <c r="F45">
        <v>5</v>
      </c>
      <c r="G45">
        <v>12</v>
      </c>
      <c r="H45">
        <v>18540</v>
      </c>
      <c r="I45">
        <v>0</v>
      </c>
      <c r="J45">
        <v>4635</v>
      </c>
      <c r="K45" s="17">
        <v>41791</v>
      </c>
    </row>
    <row r="46" spans="1:11" x14ac:dyDescent="0.3">
      <c r="A46" t="s">
        <v>15</v>
      </c>
      <c r="B46" t="s">
        <v>23</v>
      </c>
      <c r="C46" t="s">
        <v>27</v>
      </c>
      <c r="D46" t="s">
        <v>22</v>
      </c>
      <c r="E46">
        <v>2146</v>
      </c>
      <c r="F46">
        <v>5</v>
      </c>
      <c r="G46">
        <v>7</v>
      </c>
      <c r="H46">
        <v>15022</v>
      </c>
      <c r="I46">
        <v>0</v>
      </c>
      <c r="J46">
        <v>10730</v>
      </c>
      <c r="K46" s="17">
        <v>41883</v>
      </c>
    </row>
    <row r="47" spans="1:11" x14ac:dyDescent="0.3">
      <c r="A47" t="s">
        <v>30</v>
      </c>
      <c r="B47" t="s">
        <v>23</v>
      </c>
      <c r="C47" t="s">
        <v>27</v>
      </c>
      <c r="D47" t="s">
        <v>22</v>
      </c>
      <c r="E47">
        <v>921</v>
      </c>
      <c r="F47">
        <v>5</v>
      </c>
      <c r="G47">
        <v>15</v>
      </c>
      <c r="H47">
        <v>13815</v>
      </c>
      <c r="I47">
        <v>0</v>
      </c>
      <c r="J47">
        <v>9210</v>
      </c>
      <c r="K47" s="17">
        <v>41699</v>
      </c>
    </row>
    <row r="48" spans="1:11" x14ac:dyDescent="0.3">
      <c r="A48" t="s">
        <v>15</v>
      </c>
      <c r="B48" t="s">
        <v>23</v>
      </c>
      <c r="C48" t="s">
        <v>27</v>
      </c>
      <c r="D48" t="s">
        <v>19</v>
      </c>
      <c r="E48">
        <v>1958</v>
      </c>
      <c r="F48">
        <v>5</v>
      </c>
      <c r="G48">
        <v>7</v>
      </c>
      <c r="H48">
        <v>13706</v>
      </c>
      <c r="I48">
        <v>411.18</v>
      </c>
      <c r="J48">
        <v>9790</v>
      </c>
      <c r="K48" s="17">
        <v>41671</v>
      </c>
    </row>
    <row r="49" spans="1:11" x14ac:dyDescent="0.3">
      <c r="A49" t="s">
        <v>15</v>
      </c>
      <c r="B49" t="s">
        <v>23</v>
      </c>
      <c r="C49" t="s">
        <v>27</v>
      </c>
      <c r="D49" t="s">
        <v>16</v>
      </c>
      <c r="E49">
        <v>645</v>
      </c>
      <c r="F49">
        <v>5</v>
      </c>
      <c r="G49">
        <v>20</v>
      </c>
      <c r="H49">
        <v>12900</v>
      </c>
      <c r="I49">
        <v>1032</v>
      </c>
      <c r="J49">
        <v>6450</v>
      </c>
      <c r="K49" s="17">
        <v>41821</v>
      </c>
    </row>
    <row r="50" spans="1:11" x14ac:dyDescent="0.3">
      <c r="A50" t="s">
        <v>11</v>
      </c>
      <c r="B50" t="s">
        <v>26</v>
      </c>
      <c r="C50" t="s">
        <v>27</v>
      </c>
      <c r="D50" t="s">
        <v>16</v>
      </c>
      <c r="E50">
        <v>3802.5</v>
      </c>
      <c r="F50">
        <v>5</v>
      </c>
      <c r="G50">
        <v>300</v>
      </c>
      <c r="H50">
        <v>1140750</v>
      </c>
      <c r="I50">
        <v>102667.5</v>
      </c>
      <c r="J50">
        <v>950625</v>
      </c>
      <c r="K50" s="17">
        <v>41730</v>
      </c>
    </row>
    <row r="51" spans="1:11" x14ac:dyDescent="0.3">
      <c r="A51" t="s">
        <v>30</v>
      </c>
      <c r="B51" t="s">
        <v>23</v>
      </c>
      <c r="C51" t="s">
        <v>27</v>
      </c>
      <c r="D51" t="s">
        <v>16</v>
      </c>
      <c r="E51">
        <v>711</v>
      </c>
      <c r="F51">
        <v>5</v>
      </c>
      <c r="G51">
        <v>15</v>
      </c>
      <c r="H51">
        <v>10665</v>
      </c>
      <c r="I51">
        <v>853.2</v>
      </c>
      <c r="J51">
        <v>7110</v>
      </c>
      <c r="K51" s="17">
        <v>41974</v>
      </c>
    </row>
    <row r="52" spans="1:11" x14ac:dyDescent="0.3">
      <c r="A52" t="s">
        <v>15</v>
      </c>
      <c r="B52" t="s">
        <v>23</v>
      </c>
      <c r="C52" t="s">
        <v>27</v>
      </c>
      <c r="D52" t="s">
        <v>16</v>
      </c>
      <c r="E52">
        <v>1159</v>
      </c>
      <c r="F52">
        <v>5</v>
      </c>
      <c r="G52">
        <v>7</v>
      </c>
      <c r="H52">
        <v>8113</v>
      </c>
      <c r="I52">
        <v>405.65</v>
      </c>
      <c r="J52">
        <v>5795</v>
      </c>
      <c r="K52" s="17">
        <v>41548</v>
      </c>
    </row>
    <row r="53" spans="1:11" x14ac:dyDescent="0.3">
      <c r="A53" t="s">
        <v>28</v>
      </c>
      <c r="B53" t="s">
        <v>12</v>
      </c>
      <c r="C53" t="s">
        <v>27</v>
      </c>
      <c r="D53" t="s">
        <v>19</v>
      </c>
      <c r="E53">
        <v>1287</v>
      </c>
      <c r="F53">
        <v>5</v>
      </c>
      <c r="G53">
        <v>125</v>
      </c>
      <c r="H53">
        <v>160875</v>
      </c>
      <c r="I53">
        <v>4826.25</v>
      </c>
      <c r="J53">
        <v>154440</v>
      </c>
      <c r="K53" s="17">
        <v>41974</v>
      </c>
    </row>
    <row r="54" spans="1:11" x14ac:dyDescent="0.3">
      <c r="A54" t="s">
        <v>11</v>
      </c>
      <c r="B54" t="s">
        <v>12</v>
      </c>
      <c r="C54" t="s">
        <v>27</v>
      </c>
      <c r="D54" t="s">
        <v>16</v>
      </c>
      <c r="E54">
        <v>322</v>
      </c>
      <c r="F54">
        <v>5</v>
      </c>
      <c r="G54">
        <v>300</v>
      </c>
      <c r="H54">
        <v>96600</v>
      </c>
      <c r="I54">
        <v>8694</v>
      </c>
      <c r="J54">
        <v>80500</v>
      </c>
      <c r="K54" s="17">
        <v>41518</v>
      </c>
    </row>
    <row r="55" spans="1:11" x14ac:dyDescent="0.3">
      <c r="A55" t="s">
        <v>11</v>
      </c>
      <c r="B55" t="s">
        <v>12</v>
      </c>
      <c r="C55" t="s">
        <v>27</v>
      </c>
      <c r="D55" t="s">
        <v>16</v>
      </c>
      <c r="E55">
        <v>2181</v>
      </c>
      <c r="F55">
        <v>5</v>
      </c>
      <c r="G55">
        <v>300</v>
      </c>
      <c r="H55">
        <v>654300</v>
      </c>
      <c r="I55">
        <v>45801</v>
      </c>
      <c r="J55">
        <v>545250</v>
      </c>
      <c r="K55" s="17">
        <v>41913</v>
      </c>
    </row>
    <row r="56" spans="1:11" x14ac:dyDescent="0.3">
      <c r="A56" t="s">
        <v>15</v>
      </c>
      <c r="B56" t="s">
        <v>12</v>
      </c>
      <c r="C56" t="s">
        <v>27</v>
      </c>
      <c r="D56" t="s">
        <v>22</v>
      </c>
      <c r="E56">
        <v>1899</v>
      </c>
      <c r="F56">
        <v>5</v>
      </c>
      <c r="G56">
        <v>20</v>
      </c>
      <c r="H56">
        <v>37980</v>
      </c>
      <c r="I56">
        <v>0</v>
      </c>
      <c r="J56">
        <v>18990</v>
      </c>
      <c r="K56" s="17">
        <v>41791</v>
      </c>
    </row>
    <row r="57" spans="1:11" x14ac:dyDescent="0.3">
      <c r="A57" t="s">
        <v>15</v>
      </c>
      <c r="B57" t="s">
        <v>12</v>
      </c>
      <c r="C57" t="s">
        <v>27</v>
      </c>
      <c r="D57" t="s">
        <v>16</v>
      </c>
      <c r="E57">
        <v>1976</v>
      </c>
      <c r="F57">
        <v>5</v>
      </c>
      <c r="G57">
        <v>20</v>
      </c>
      <c r="H57">
        <v>39520</v>
      </c>
      <c r="I57">
        <v>2766.4</v>
      </c>
      <c r="J57">
        <v>19760</v>
      </c>
      <c r="K57" s="17">
        <v>41913</v>
      </c>
    </row>
    <row r="58" spans="1:11" x14ac:dyDescent="0.3">
      <c r="A58" t="s">
        <v>11</v>
      </c>
      <c r="B58" t="s">
        <v>23</v>
      </c>
      <c r="C58" t="s">
        <v>27</v>
      </c>
      <c r="D58" t="s">
        <v>19</v>
      </c>
      <c r="E58">
        <v>2021</v>
      </c>
      <c r="F58">
        <v>5</v>
      </c>
      <c r="G58">
        <v>300</v>
      </c>
      <c r="H58">
        <v>606300</v>
      </c>
      <c r="I58">
        <v>24252</v>
      </c>
      <c r="J58">
        <v>505250</v>
      </c>
      <c r="K58" s="17">
        <v>41913</v>
      </c>
    </row>
    <row r="59" spans="1:11" x14ac:dyDescent="0.3">
      <c r="A59" t="s">
        <v>30</v>
      </c>
      <c r="B59" t="s">
        <v>12</v>
      </c>
      <c r="C59" t="s">
        <v>27</v>
      </c>
      <c r="D59" t="s">
        <v>16</v>
      </c>
      <c r="E59">
        <v>2501</v>
      </c>
      <c r="F59">
        <v>5</v>
      </c>
      <c r="G59">
        <v>15</v>
      </c>
      <c r="H59">
        <v>37515</v>
      </c>
      <c r="I59">
        <v>3001.2</v>
      </c>
      <c r="J59">
        <v>25010</v>
      </c>
      <c r="K59" s="17">
        <v>41699</v>
      </c>
    </row>
    <row r="60" spans="1:11" x14ac:dyDescent="0.3">
      <c r="A60" t="s">
        <v>15</v>
      </c>
      <c r="B60" t="s">
        <v>23</v>
      </c>
      <c r="C60" t="s">
        <v>27</v>
      </c>
      <c r="D60" t="s">
        <v>19</v>
      </c>
      <c r="E60">
        <v>1797</v>
      </c>
      <c r="F60">
        <v>5</v>
      </c>
      <c r="G60">
        <v>350</v>
      </c>
      <c r="H60">
        <v>628950</v>
      </c>
      <c r="I60">
        <v>18868.5</v>
      </c>
      <c r="J60">
        <v>467220</v>
      </c>
      <c r="K60" s="17">
        <v>41518</v>
      </c>
    </row>
    <row r="61" spans="1:11" x14ac:dyDescent="0.3">
      <c r="A61" t="s">
        <v>15</v>
      </c>
      <c r="B61" t="s">
        <v>12</v>
      </c>
      <c r="C61" t="s">
        <v>27</v>
      </c>
      <c r="D61" t="s">
        <v>16</v>
      </c>
      <c r="E61">
        <v>1757</v>
      </c>
      <c r="F61">
        <v>5</v>
      </c>
      <c r="G61">
        <v>20</v>
      </c>
      <c r="H61">
        <v>35140</v>
      </c>
      <c r="I61">
        <v>2108.4</v>
      </c>
      <c r="J61">
        <v>17570</v>
      </c>
      <c r="K61" s="17">
        <v>41548</v>
      </c>
    </row>
    <row r="62" spans="1:11" x14ac:dyDescent="0.3">
      <c r="A62" t="s">
        <v>30</v>
      </c>
      <c r="B62" t="s">
        <v>12</v>
      </c>
      <c r="C62" t="s">
        <v>27</v>
      </c>
      <c r="D62" t="s">
        <v>14</v>
      </c>
      <c r="E62">
        <v>2072</v>
      </c>
      <c r="F62">
        <v>5</v>
      </c>
      <c r="G62">
        <v>15</v>
      </c>
      <c r="H62">
        <v>31080</v>
      </c>
      <c r="I62">
        <v>3108</v>
      </c>
      <c r="J62">
        <v>20720</v>
      </c>
      <c r="K62" s="17">
        <v>41974</v>
      </c>
    </row>
    <row r="63" spans="1:11" x14ac:dyDescent="0.3">
      <c r="A63" t="s">
        <v>15</v>
      </c>
      <c r="B63" t="s">
        <v>12</v>
      </c>
      <c r="C63" t="s">
        <v>27</v>
      </c>
      <c r="D63" t="s">
        <v>19</v>
      </c>
      <c r="E63">
        <v>1375.5</v>
      </c>
      <c r="F63">
        <v>5</v>
      </c>
      <c r="G63">
        <v>20</v>
      </c>
      <c r="H63">
        <v>27510</v>
      </c>
      <c r="I63">
        <v>275.10000000000002</v>
      </c>
      <c r="J63">
        <v>13755</v>
      </c>
      <c r="K63" s="17">
        <v>41821</v>
      </c>
    </row>
    <row r="64" spans="1:11" x14ac:dyDescent="0.3">
      <c r="A64" t="s">
        <v>29</v>
      </c>
      <c r="B64" t="s">
        <v>12</v>
      </c>
      <c r="C64" t="s">
        <v>27</v>
      </c>
      <c r="D64" t="s">
        <v>16</v>
      </c>
      <c r="E64">
        <v>2342</v>
      </c>
      <c r="F64">
        <v>5</v>
      </c>
      <c r="G64">
        <v>12</v>
      </c>
      <c r="H64">
        <v>28104</v>
      </c>
      <c r="I64">
        <v>1967.28</v>
      </c>
      <c r="J64">
        <v>7026</v>
      </c>
      <c r="K64" s="17">
        <v>41944</v>
      </c>
    </row>
    <row r="65" spans="1:11" x14ac:dyDescent="0.3">
      <c r="A65" t="s">
        <v>29</v>
      </c>
      <c r="B65" t="s">
        <v>12</v>
      </c>
      <c r="C65" t="s">
        <v>27</v>
      </c>
      <c r="D65" t="s">
        <v>19</v>
      </c>
      <c r="E65">
        <v>1901</v>
      </c>
      <c r="F65">
        <v>5</v>
      </c>
      <c r="G65">
        <v>12</v>
      </c>
      <c r="H65">
        <v>22812</v>
      </c>
      <c r="I65">
        <v>684.36</v>
      </c>
      <c r="J65">
        <v>5703</v>
      </c>
      <c r="K65" s="17">
        <v>41791</v>
      </c>
    </row>
    <row r="66" spans="1:11" x14ac:dyDescent="0.3">
      <c r="A66" t="s">
        <v>15</v>
      </c>
      <c r="B66" t="s">
        <v>12</v>
      </c>
      <c r="C66" t="s">
        <v>27</v>
      </c>
      <c r="D66" t="s">
        <v>16</v>
      </c>
      <c r="E66">
        <v>1403</v>
      </c>
      <c r="F66">
        <v>5</v>
      </c>
      <c r="G66">
        <v>7</v>
      </c>
      <c r="H66">
        <v>9821</v>
      </c>
      <c r="I66">
        <v>589.26</v>
      </c>
      <c r="J66">
        <v>7015</v>
      </c>
      <c r="K66" s="17">
        <v>41548</v>
      </c>
    </row>
    <row r="67" spans="1:11" x14ac:dyDescent="0.3">
      <c r="A67" t="s">
        <v>15</v>
      </c>
      <c r="B67" t="s">
        <v>26</v>
      </c>
      <c r="C67" t="s">
        <v>27</v>
      </c>
      <c r="D67" t="s">
        <v>16</v>
      </c>
      <c r="E67">
        <v>488</v>
      </c>
      <c r="F67">
        <v>5</v>
      </c>
      <c r="G67">
        <v>7</v>
      </c>
      <c r="H67">
        <v>3416</v>
      </c>
      <c r="I67">
        <v>273.27999999999997</v>
      </c>
      <c r="J67">
        <v>2440</v>
      </c>
      <c r="K67" s="17">
        <v>41671</v>
      </c>
    </row>
    <row r="68" spans="1:11" x14ac:dyDescent="0.3">
      <c r="A68" t="s">
        <v>15</v>
      </c>
      <c r="B68" t="s">
        <v>26</v>
      </c>
      <c r="C68" t="s">
        <v>27</v>
      </c>
      <c r="D68" t="s">
        <v>14</v>
      </c>
      <c r="E68">
        <v>388</v>
      </c>
      <c r="F68">
        <v>5</v>
      </c>
      <c r="G68">
        <v>7</v>
      </c>
      <c r="H68">
        <v>2716</v>
      </c>
      <c r="I68">
        <v>380.24</v>
      </c>
      <c r="J68">
        <v>1940</v>
      </c>
      <c r="K68" s="17">
        <v>41883</v>
      </c>
    </row>
    <row r="69" spans="1:11" x14ac:dyDescent="0.3">
      <c r="A69" t="s">
        <v>15</v>
      </c>
      <c r="B69" t="s">
        <v>12</v>
      </c>
      <c r="C69" t="s">
        <v>27</v>
      </c>
      <c r="D69" t="s">
        <v>19</v>
      </c>
      <c r="E69">
        <v>544</v>
      </c>
      <c r="F69">
        <v>5</v>
      </c>
      <c r="G69">
        <v>7</v>
      </c>
      <c r="H69">
        <v>3808</v>
      </c>
      <c r="I69">
        <v>114.24</v>
      </c>
      <c r="J69">
        <v>2720</v>
      </c>
      <c r="K69" s="17">
        <v>41883</v>
      </c>
    </row>
    <row r="70" spans="1:11" x14ac:dyDescent="0.3">
      <c r="A70" t="s">
        <v>15</v>
      </c>
      <c r="B70" t="s">
        <v>12</v>
      </c>
      <c r="C70" t="s">
        <v>27</v>
      </c>
      <c r="D70" t="s">
        <v>14</v>
      </c>
      <c r="E70">
        <v>293</v>
      </c>
      <c r="F70">
        <v>5</v>
      </c>
      <c r="G70">
        <v>7</v>
      </c>
      <c r="H70">
        <v>2051</v>
      </c>
      <c r="I70">
        <v>287.14</v>
      </c>
      <c r="J70">
        <v>1465</v>
      </c>
      <c r="K70" s="17">
        <v>41671</v>
      </c>
    </row>
    <row r="71" spans="1:11" x14ac:dyDescent="0.3">
      <c r="A71" t="s">
        <v>11</v>
      </c>
      <c r="B71" t="s">
        <v>24</v>
      </c>
      <c r="C71" t="s">
        <v>27</v>
      </c>
      <c r="D71" t="s">
        <v>19</v>
      </c>
      <c r="E71">
        <v>2301</v>
      </c>
      <c r="F71">
        <v>5</v>
      </c>
      <c r="G71">
        <v>300</v>
      </c>
      <c r="H71">
        <v>690300</v>
      </c>
      <c r="I71">
        <v>6903</v>
      </c>
      <c r="J71">
        <v>575250</v>
      </c>
      <c r="K71" s="17">
        <v>41730</v>
      </c>
    </row>
    <row r="72" spans="1:11" x14ac:dyDescent="0.3">
      <c r="A72" t="s">
        <v>11</v>
      </c>
      <c r="B72" t="s">
        <v>12</v>
      </c>
      <c r="C72" t="s">
        <v>27</v>
      </c>
      <c r="D72" t="s">
        <v>14</v>
      </c>
      <c r="E72">
        <v>1773</v>
      </c>
      <c r="F72">
        <v>5</v>
      </c>
      <c r="G72">
        <v>300</v>
      </c>
      <c r="H72">
        <v>531900</v>
      </c>
      <c r="I72">
        <v>63828</v>
      </c>
      <c r="J72">
        <v>443250</v>
      </c>
      <c r="K72" s="17">
        <v>41730</v>
      </c>
    </row>
    <row r="73" spans="1:11" x14ac:dyDescent="0.3">
      <c r="A73" t="s">
        <v>28</v>
      </c>
      <c r="B73" t="s">
        <v>24</v>
      </c>
      <c r="C73" t="s">
        <v>27</v>
      </c>
      <c r="D73" t="s">
        <v>16</v>
      </c>
      <c r="E73">
        <v>3627</v>
      </c>
      <c r="F73">
        <v>5</v>
      </c>
      <c r="G73">
        <v>125</v>
      </c>
      <c r="H73">
        <v>453375</v>
      </c>
      <c r="I73">
        <v>22668.75</v>
      </c>
      <c r="J73">
        <v>435240</v>
      </c>
      <c r="K73" s="17">
        <v>41821</v>
      </c>
    </row>
    <row r="74" spans="1:11" x14ac:dyDescent="0.3">
      <c r="A74" t="s">
        <v>11</v>
      </c>
      <c r="B74" t="s">
        <v>26</v>
      </c>
      <c r="C74" t="s">
        <v>27</v>
      </c>
      <c r="D74" t="s">
        <v>16</v>
      </c>
      <c r="E74">
        <v>1283</v>
      </c>
      <c r="F74">
        <v>5</v>
      </c>
      <c r="G74">
        <v>300</v>
      </c>
      <c r="H74">
        <v>384900</v>
      </c>
      <c r="I74">
        <v>30792</v>
      </c>
      <c r="J74">
        <v>320750</v>
      </c>
      <c r="K74" s="17">
        <v>41518</v>
      </c>
    </row>
    <row r="75" spans="1:11" x14ac:dyDescent="0.3">
      <c r="A75" t="s">
        <v>28</v>
      </c>
      <c r="B75" t="s">
        <v>26</v>
      </c>
      <c r="C75" t="s">
        <v>27</v>
      </c>
      <c r="D75" t="s">
        <v>22</v>
      </c>
      <c r="E75">
        <v>2665.5</v>
      </c>
      <c r="F75">
        <v>5</v>
      </c>
      <c r="G75">
        <v>125</v>
      </c>
      <c r="H75">
        <v>333187.5</v>
      </c>
      <c r="I75">
        <v>0</v>
      </c>
      <c r="J75">
        <v>319860</v>
      </c>
      <c r="K75" s="17">
        <v>41821</v>
      </c>
    </row>
    <row r="76" spans="1:11" x14ac:dyDescent="0.3">
      <c r="A76" t="s">
        <v>15</v>
      </c>
      <c r="B76" t="s">
        <v>25</v>
      </c>
      <c r="C76" t="s">
        <v>27</v>
      </c>
      <c r="D76" t="s">
        <v>16</v>
      </c>
      <c r="E76">
        <v>980</v>
      </c>
      <c r="F76">
        <v>5</v>
      </c>
      <c r="G76">
        <v>350</v>
      </c>
      <c r="H76">
        <v>343000</v>
      </c>
      <c r="I76">
        <v>20580</v>
      </c>
      <c r="J76">
        <v>254800</v>
      </c>
      <c r="K76" s="17">
        <v>41730</v>
      </c>
    </row>
    <row r="77" spans="1:11" x14ac:dyDescent="0.3">
      <c r="A77" t="s">
        <v>15</v>
      </c>
      <c r="B77" t="s">
        <v>12</v>
      </c>
      <c r="C77" t="s">
        <v>27</v>
      </c>
      <c r="D77" t="s">
        <v>16</v>
      </c>
      <c r="E77">
        <v>1666</v>
      </c>
      <c r="F77">
        <v>5</v>
      </c>
      <c r="G77">
        <v>350</v>
      </c>
      <c r="H77">
        <v>583100</v>
      </c>
      <c r="I77">
        <v>52479</v>
      </c>
      <c r="J77">
        <v>433160</v>
      </c>
      <c r="K77" s="17">
        <v>41760</v>
      </c>
    </row>
    <row r="78" spans="1:11" x14ac:dyDescent="0.3">
      <c r="A78" t="s">
        <v>28</v>
      </c>
      <c r="B78" t="s">
        <v>24</v>
      </c>
      <c r="C78" t="s">
        <v>27</v>
      </c>
      <c r="D78" t="s">
        <v>16</v>
      </c>
      <c r="E78">
        <v>2797</v>
      </c>
      <c r="F78">
        <v>5</v>
      </c>
      <c r="G78">
        <v>125</v>
      </c>
      <c r="H78">
        <v>349625</v>
      </c>
      <c r="I78">
        <v>31466.25</v>
      </c>
      <c r="J78">
        <v>335640</v>
      </c>
      <c r="K78" s="17">
        <v>41974</v>
      </c>
    </row>
    <row r="79" spans="1:11" x14ac:dyDescent="0.3">
      <c r="A79" t="s">
        <v>11</v>
      </c>
      <c r="B79" t="s">
        <v>25</v>
      </c>
      <c r="C79" t="s">
        <v>27</v>
      </c>
      <c r="D79" t="s">
        <v>16</v>
      </c>
      <c r="E79">
        <v>1100</v>
      </c>
      <c r="F79">
        <v>5</v>
      </c>
      <c r="G79">
        <v>300</v>
      </c>
      <c r="H79">
        <v>330000</v>
      </c>
      <c r="I79">
        <v>16500</v>
      </c>
      <c r="J79">
        <v>275000</v>
      </c>
      <c r="K79" s="17">
        <v>41609</v>
      </c>
    </row>
    <row r="80" spans="1:11" x14ac:dyDescent="0.3">
      <c r="A80" t="s">
        <v>15</v>
      </c>
      <c r="B80" t="s">
        <v>24</v>
      </c>
      <c r="C80" t="s">
        <v>27</v>
      </c>
      <c r="D80" t="s">
        <v>14</v>
      </c>
      <c r="E80">
        <v>982.5</v>
      </c>
      <c r="F80">
        <v>5</v>
      </c>
      <c r="G80">
        <v>350</v>
      </c>
      <c r="H80">
        <v>343875</v>
      </c>
      <c r="I80">
        <v>44703.75</v>
      </c>
      <c r="J80">
        <v>255450</v>
      </c>
      <c r="K80" s="17">
        <v>41640</v>
      </c>
    </row>
    <row r="81" spans="1:11" x14ac:dyDescent="0.3">
      <c r="A81" t="s">
        <v>11</v>
      </c>
      <c r="B81" t="s">
        <v>25</v>
      </c>
      <c r="C81" t="s">
        <v>27</v>
      </c>
      <c r="D81" t="s">
        <v>22</v>
      </c>
      <c r="E81">
        <v>958</v>
      </c>
      <c r="F81">
        <v>5</v>
      </c>
      <c r="G81">
        <v>300</v>
      </c>
      <c r="H81">
        <v>287400</v>
      </c>
      <c r="I81">
        <v>0</v>
      </c>
      <c r="J81">
        <v>239500</v>
      </c>
      <c r="K81" s="17">
        <v>41852</v>
      </c>
    </row>
    <row r="82" spans="1:11" x14ac:dyDescent="0.3">
      <c r="A82" t="s">
        <v>28</v>
      </c>
      <c r="B82" t="s">
        <v>12</v>
      </c>
      <c r="C82" t="s">
        <v>27</v>
      </c>
      <c r="D82" t="s">
        <v>16</v>
      </c>
      <c r="E82">
        <v>1857</v>
      </c>
      <c r="F82">
        <v>5</v>
      </c>
      <c r="G82">
        <v>125</v>
      </c>
      <c r="H82">
        <v>232125</v>
      </c>
      <c r="I82">
        <v>20891.25</v>
      </c>
      <c r="J82">
        <v>222840</v>
      </c>
      <c r="K82" s="17">
        <v>41579</v>
      </c>
    </row>
    <row r="83" spans="1:11" x14ac:dyDescent="0.3">
      <c r="A83" t="s">
        <v>15</v>
      </c>
      <c r="B83" t="s">
        <v>25</v>
      </c>
      <c r="C83" t="s">
        <v>27</v>
      </c>
      <c r="D83" t="s">
        <v>16</v>
      </c>
      <c r="E83">
        <v>720</v>
      </c>
      <c r="F83">
        <v>5</v>
      </c>
      <c r="G83">
        <v>350</v>
      </c>
      <c r="H83">
        <v>252000</v>
      </c>
      <c r="I83">
        <v>12600</v>
      </c>
      <c r="J83">
        <v>187200</v>
      </c>
      <c r="K83" s="17">
        <v>41518</v>
      </c>
    </row>
    <row r="84" spans="1:11" x14ac:dyDescent="0.3">
      <c r="A84" t="s">
        <v>28</v>
      </c>
      <c r="B84" t="s">
        <v>25</v>
      </c>
      <c r="C84" t="s">
        <v>27</v>
      </c>
      <c r="D84" t="s">
        <v>19</v>
      </c>
      <c r="E84">
        <v>1660</v>
      </c>
      <c r="F84">
        <v>5</v>
      </c>
      <c r="G84">
        <v>125</v>
      </c>
      <c r="H84">
        <v>207500</v>
      </c>
      <c r="I84">
        <v>4150</v>
      </c>
      <c r="J84">
        <v>199200</v>
      </c>
      <c r="K84" s="17">
        <v>41579</v>
      </c>
    </row>
    <row r="85" spans="1:11" x14ac:dyDescent="0.3">
      <c r="A85" t="s">
        <v>28</v>
      </c>
      <c r="B85" t="s">
        <v>24</v>
      </c>
      <c r="C85" t="s">
        <v>27</v>
      </c>
      <c r="D85" t="s">
        <v>14</v>
      </c>
      <c r="E85">
        <v>1804</v>
      </c>
      <c r="F85">
        <v>5</v>
      </c>
      <c r="G85">
        <v>125</v>
      </c>
      <c r="H85">
        <v>225500</v>
      </c>
      <c r="I85">
        <v>22550</v>
      </c>
      <c r="J85">
        <v>216480</v>
      </c>
      <c r="K85" s="17">
        <v>41579</v>
      </c>
    </row>
    <row r="86" spans="1:11" x14ac:dyDescent="0.3">
      <c r="A86" t="s">
        <v>15</v>
      </c>
      <c r="B86" t="s">
        <v>23</v>
      </c>
      <c r="C86" t="s">
        <v>27</v>
      </c>
      <c r="D86" t="s">
        <v>14</v>
      </c>
      <c r="E86">
        <v>1199</v>
      </c>
      <c r="F86">
        <v>5</v>
      </c>
      <c r="G86">
        <v>350</v>
      </c>
      <c r="H86">
        <v>419650</v>
      </c>
      <c r="I86">
        <v>58751</v>
      </c>
      <c r="J86">
        <v>311740</v>
      </c>
      <c r="K86" s="17">
        <v>41730</v>
      </c>
    </row>
    <row r="87" spans="1:11" x14ac:dyDescent="0.3">
      <c r="A87" t="s">
        <v>28</v>
      </c>
      <c r="B87" t="s">
        <v>23</v>
      </c>
      <c r="C87" t="s">
        <v>27</v>
      </c>
      <c r="D87" t="s">
        <v>16</v>
      </c>
      <c r="E87">
        <v>2500</v>
      </c>
      <c r="F87">
        <v>5</v>
      </c>
      <c r="G87">
        <v>125</v>
      </c>
      <c r="H87">
        <v>312500</v>
      </c>
      <c r="I87">
        <v>21875</v>
      </c>
      <c r="J87">
        <v>300000</v>
      </c>
      <c r="K87" s="17">
        <v>41579</v>
      </c>
    </row>
    <row r="88" spans="1:11" x14ac:dyDescent="0.3">
      <c r="A88" t="s">
        <v>15</v>
      </c>
      <c r="B88" t="s">
        <v>23</v>
      </c>
      <c r="C88" t="s">
        <v>27</v>
      </c>
      <c r="D88" t="s">
        <v>14</v>
      </c>
      <c r="E88">
        <v>766</v>
      </c>
      <c r="F88">
        <v>5</v>
      </c>
      <c r="G88">
        <v>350</v>
      </c>
      <c r="H88">
        <v>268100</v>
      </c>
      <c r="I88">
        <v>29491</v>
      </c>
      <c r="J88">
        <v>199160</v>
      </c>
      <c r="K88" s="17">
        <v>41640</v>
      </c>
    </row>
    <row r="89" spans="1:11" x14ac:dyDescent="0.3">
      <c r="A89" t="s">
        <v>28</v>
      </c>
      <c r="B89" t="s">
        <v>23</v>
      </c>
      <c r="C89" t="s">
        <v>27</v>
      </c>
      <c r="D89" t="s">
        <v>19</v>
      </c>
      <c r="E89">
        <v>1706</v>
      </c>
      <c r="F89">
        <v>5</v>
      </c>
      <c r="G89">
        <v>125</v>
      </c>
      <c r="H89">
        <v>213250</v>
      </c>
      <c r="I89">
        <v>6397.5</v>
      </c>
      <c r="J89">
        <v>204720</v>
      </c>
      <c r="K89" s="17">
        <v>41974</v>
      </c>
    </row>
    <row r="90" spans="1:11" x14ac:dyDescent="0.3">
      <c r="A90" t="s">
        <v>11</v>
      </c>
      <c r="B90" t="s">
        <v>23</v>
      </c>
      <c r="C90" t="s">
        <v>27</v>
      </c>
      <c r="D90" t="s">
        <v>19</v>
      </c>
      <c r="E90">
        <v>1859</v>
      </c>
      <c r="F90">
        <v>5</v>
      </c>
      <c r="G90">
        <v>300</v>
      </c>
      <c r="H90">
        <v>557700</v>
      </c>
      <c r="I90">
        <v>22308</v>
      </c>
      <c r="J90">
        <v>464750</v>
      </c>
      <c r="K90" s="17">
        <v>41852</v>
      </c>
    </row>
    <row r="91" spans="1:11" x14ac:dyDescent="0.3">
      <c r="A91" t="s">
        <v>15</v>
      </c>
      <c r="B91" t="s">
        <v>23</v>
      </c>
      <c r="C91" t="s">
        <v>27</v>
      </c>
      <c r="D91" t="s">
        <v>16</v>
      </c>
      <c r="E91">
        <v>1460</v>
      </c>
      <c r="F91">
        <v>5</v>
      </c>
      <c r="G91">
        <v>350</v>
      </c>
      <c r="H91">
        <v>511000</v>
      </c>
      <c r="I91">
        <v>30660</v>
      </c>
      <c r="J91">
        <v>379600</v>
      </c>
      <c r="K91" s="17">
        <v>41760</v>
      </c>
    </row>
    <row r="92" spans="1:11" x14ac:dyDescent="0.3">
      <c r="A92" t="s">
        <v>15</v>
      </c>
      <c r="B92" t="s">
        <v>12</v>
      </c>
      <c r="C92" t="s">
        <v>27</v>
      </c>
      <c r="D92" t="s">
        <v>16</v>
      </c>
      <c r="E92">
        <v>1384.5</v>
      </c>
      <c r="F92">
        <v>5</v>
      </c>
      <c r="G92">
        <v>350</v>
      </c>
      <c r="H92">
        <v>484575</v>
      </c>
      <c r="I92">
        <v>24228.75</v>
      </c>
      <c r="J92">
        <v>359970</v>
      </c>
      <c r="K92" s="17">
        <v>41640</v>
      </c>
    </row>
    <row r="93" spans="1:11" x14ac:dyDescent="0.3">
      <c r="A93" t="s">
        <v>11</v>
      </c>
      <c r="B93" t="s">
        <v>12</v>
      </c>
      <c r="C93" t="s">
        <v>27</v>
      </c>
      <c r="D93" t="s">
        <v>14</v>
      </c>
      <c r="E93">
        <v>1186</v>
      </c>
      <c r="F93">
        <v>5</v>
      </c>
      <c r="G93">
        <v>300</v>
      </c>
      <c r="H93">
        <v>355800</v>
      </c>
      <c r="I93">
        <v>42696</v>
      </c>
      <c r="J93">
        <v>296500</v>
      </c>
      <c r="K93" s="17">
        <v>41609</v>
      </c>
    </row>
    <row r="94" spans="1:11" x14ac:dyDescent="0.3">
      <c r="A94" t="s">
        <v>11</v>
      </c>
      <c r="B94" t="s">
        <v>12</v>
      </c>
      <c r="C94" t="s">
        <v>27</v>
      </c>
      <c r="D94" t="s">
        <v>16</v>
      </c>
      <c r="E94">
        <v>1562</v>
      </c>
      <c r="F94">
        <v>5</v>
      </c>
      <c r="G94">
        <v>300</v>
      </c>
      <c r="H94">
        <v>468600</v>
      </c>
      <c r="I94">
        <v>37488</v>
      </c>
      <c r="J94">
        <v>390500</v>
      </c>
      <c r="K94" s="17">
        <v>41852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
  <sheetViews>
    <sheetView topLeftCell="A2" workbookViewId="0">
      <selection sqref="A1:K41"/>
    </sheetView>
  </sheetViews>
  <sheetFormatPr defaultRowHeight="14.4" x14ac:dyDescent="0.3"/>
  <cols>
    <col min="1" max="1" width="11" customWidth="1"/>
    <col min="2" max="2" width="10.109375" customWidth="1"/>
    <col min="3" max="3" width="10" customWidth="1"/>
    <col min="4" max="4" width="15.6640625" customWidth="1"/>
    <col min="5" max="5" width="12.109375" customWidth="1"/>
    <col min="6" max="6" width="21" customWidth="1"/>
    <col min="7" max="7" width="11.6640625" customWidth="1"/>
    <col min="8" max="8" width="13.109375" customWidth="1"/>
    <col min="9" max="9" width="11.6640625" customWidth="1"/>
  </cols>
  <sheetData>
    <row r="1" spans="1:11" x14ac:dyDescent="0.3">
      <c r="A1" t="s">
        <v>0</v>
      </c>
      <c r="B1" t="s">
        <v>1</v>
      </c>
      <c r="C1" t="s">
        <v>2</v>
      </c>
      <c r="D1" t="s">
        <v>3</v>
      </c>
      <c r="E1" t="s">
        <v>4</v>
      </c>
      <c r="F1" t="s">
        <v>5</v>
      </c>
      <c r="G1" t="s">
        <v>6</v>
      </c>
      <c r="H1" t="s">
        <v>7</v>
      </c>
      <c r="I1" t="s">
        <v>8</v>
      </c>
      <c r="J1" t="s">
        <v>9</v>
      </c>
      <c r="K1" t="s">
        <v>10</v>
      </c>
    </row>
    <row r="2" spans="1:11" x14ac:dyDescent="0.3">
      <c r="A2" t="s">
        <v>28</v>
      </c>
      <c r="B2" t="s">
        <v>23</v>
      </c>
      <c r="C2" t="s">
        <v>18</v>
      </c>
      <c r="D2" t="s">
        <v>14</v>
      </c>
      <c r="E2">
        <v>1085</v>
      </c>
      <c r="F2">
        <v>10</v>
      </c>
      <c r="G2">
        <v>125</v>
      </c>
      <c r="H2">
        <v>135625</v>
      </c>
      <c r="I2">
        <v>20343.75</v>
      </c>
      <c r="J2">
        <v>130200</v>
      </c>
      <c r="K2" s="17">
        <v>41913</v>
      </c>
    </row>
    <row r="3" spans="1:11" x14ac:dyDescent="0.3">
      <c r="A3" t="s">
        <v>15</v>
      </c>
      <c r="B3" t="s">
        <v>23</v>
      </c>
      <c r="C3" t="s">
        <v>18</v>
      </c>
      <c r="D3" t="s">
        <v>14</v>
      </c>
      <c r="E3">
        <v>357</v>
      </c>
      <c r="F3">
        <v>10</v>
      </c>
      <c r="G3">
        <v>350</v>
      </c>
      <c r="H3">
        <v>124950</v>
      </c>
      <c r="I3">
        <v>16243.5</v>
      </c>
      <c r="J3">
        <v>92820</v>
      </c>
      <c r="K3" s="17">
        <v>41944</v>
      </c>
    </row>
    <row r="4" spans="1:11" x14ac:dyDescent="0.3">
      <c r="A4" t="s">
        <v>28</v>
      </c>
      <c r="B4" t="s">
        <v>23</v>
      </c>
      <c r="C4" t="s">
        <v>18</v>
      </c>
      <c r="D4" t="s">
        <v>19</v>
      </c>
      <c r="E4">
        <v>809</v>
      </c>
      <c r="F4">
        <v>10</v>
      </c>
      <c r="G4">
        <v>125</v>
      </c>
      <c r="H4">
        <v>101125</v>
      </c>
      <c r="I4">
        <v>2022.5</v>
      </c>
      <c r="J4">
        <v>97080</v>
      </c>
      <c r="K4" s="17">
        <v>41548</v>
      </c>
    </row>
    <row r="5" spans="1:11" x14ac:dyDescent="0.3">
      <c r="A5" t="s">
        <v>28</v>
      </c>
      <c r="B5" t="s">
        <v>23</v>
      </c>
      <c r="C5" t="s">
        <v>18</v>
      </c>
      <c r="D5" t="s">
        <v>19</v>
      </c>
      <c r="E5">
        <v>795</v>
      </c>
      <c r="F5">
        <v>10</v>
      </c>
      <c r="G5">
        <v>125</v>
      </c>
      <c r="H5">
        <v>99375</v>
      </c>
      <c r="I5">
        <v>3975</v>
      </c>
      <c r="J5">
        <v>95400</v>
      </c>
      <c r="K5" s="17">
        <v>41699</v>
      </c>
    </row>
    <row r="6" spans="1:11" x14ac:dyDescent="0.3">
      <c r="A6" t="s">
        <v>15</v>
      </c>
      <c r="B6" t="s">
        <v>23</v>
      </c>
      <c r="C6" t="s">
        <v>18</v>
      </c>
      <c r="D6" t="s">
        <v>14</v>
      </c>
      <c r="E6">
        <v>2992</v>
      </c>
      <c r="F6">
        <v>10</v>
      </c>
      <c r="G6">
        <v>20</v>
      </c>
      <c r="H6">
        <v>59840</v>
      </c>
      <c r="I6">
        <v>6582.4</v>
      </c>
      <c r="J6">
        <v>29920</v>
      </c>
      <c r="K6" s="17">
        <v>41548</v>
      </c>
    </row>
    <row r="7" spans="1:11" x14ac:dyDescent="0.3">
      <c r="A7" t="s">
        <v>15</v>
      </c>
      <c r="B7" t="s">
        <v>23</v>
      </c>
      <c r="C7" t="s">
        <v>18</v>
      </c>
      <c r="D7" t="s">
        <v>14</v>
      </c>
      <c r="E7">
        <v>2708</v>
      </c>
      <c r="F7">
        <v>10</v>
      </c>
      <c r="G7">
        <v>20</v>
      </c>
      <c r="H7">
        <v>54160</v>
      </c>
      <c r="I7">
        <v>7040.8</v>
      </c>
      <c r="J7">
        <v>27080</v>
      </c>
      <c r="K7" s="17">
        <v>41671</v>
      </c>
    </row>
    <row r="8" spans="1:11" x14ac:dyDescent="0.3">
      <c r="A8" t="s">
        <v>15</v>
      </c>
      <c r="B8" t="s">
        <v>23</v>
      </c>
      <c r="C8" t="s">
        <v>18</v>
      </c>
      <c r="D8" t="s">
        <v>16</v>
      </c>
      <c r="E8">
        <v>1934</v>
      </c>
      <c r="F8">
        <v>10</v>
      </c>
      <c r="G8">
        <v>20</v>
      </c>
      <c r="H8">
        <v>38680</v>
      </c>
      <c r="I8">
        <v>3094.4</v>
      </c>
      <c r="J8">
        <v>19340</v>
      </c>
      <c r="K8" s="17">
        <v>41883</v>
      </c>
    </row>
    <row r="9" spans="1:11" x14ac:dyDescent="0.3">
      <c r="A9" t="s">
        <v>30</v>
      </c>
      <c r="B9" t="s">
        <v>23</v>
      </c>
      <c r="C9" t="s">
        <v>18</v>
      </c>
      <c r="D9" t="s">
        <v>16</v>
      </c>
      <c r="E9">
        <v>2116</v>
      </c>
      <c r="F9">
        <v>10</v>
      </c>
      <c r="G9">
        <v>15</v>
      </c>
      <c r="H9">
        <v>31740</v>
      </c>
      <c r="I9">
        <v>1587</v>
      </c>
      <c r="J9">
        <v>21160</v>
      </c>
      <c r="K9" s="17">
        <v>41609</v>
      </c>
    </row>
    <row r="10" spans="1:11" x14ac:dyDescent="0.3">
      <c r="A10" t="s">
        <v>30</v>
      </c>
      <c r="B10" t="s">
        <v>23</v>
      </c>
      <c r="C10" t="s">
        <v>18</v>
      </c>
      <c r="D10" t="s">
        <v>19</v>
      </c>
      <c r="E10">
        <v>1945</v>
      </c>
      <c r="F10">
        <v>10</v>
      </c>
      <c r="G10">
        <v>15</v>
      </c>
      <c r="H10">
        <v>29175</v>
      </c>
      <c r="I10">
        <v>875.25</v>
      </c>
      <c r="J10">
        <v>19450</v>
      </c>
      <c r="K10" s="17">
        <v>41548</v>
      </c>
    </row>
    <row r="11" spans="1:11" x14ac:dyDescent="0.3">
      <c r="A11" t="s">
        <v>15</v>
      </c>
      <c r="B11" t="s">
        <v>23</v>
      </c>
      <c r="C11" t="s">
        <v>18</v>
      </c>
      <c r="D11" t="s">
        <v>14</v>
      </c>
      <c r="E11">
        <v>1531</v>
      </c>
      <c r="F11">
        <v>10</v>
      </c>
      <c r="G11">
        <v>20</v>
      </c>
      <c r="H11">
        <v>30620</v>
      </c>
      <c r="I11">
        <v>3674.4</v>
      </c>
      <c r="J11">
        <v>15310</v>
      </c>
      <c r="K11" s="17">
        <v>41974</v>
      </c>
    </row>
    <row r="12" spans="1:11" x14ac:dyDescent="0.3">
      <c r="A12" t="s">
        <v>15</v>
      </c>
      <c r="B12" t="s">
        <v>23</v>
      </c>
      <c r="C12" t="s">
        <v>18</v>
      </c>
      <c r="D12" t="s">
        <v>16</v>
      </c>
      <c r="E12">
        <v>1366</v>
      </c>
      <c r="F12">
        <v>10</v>
      </c>
      <c r="G12">
        <v>20</v>
      </c>
      <c r="H12">
        <v>27320</v>
      </c>
      <c r="I12">
        <v>2185.6</v>
      </c>
      <c r="J12">
        <v>13660</v>
      </c>
      <c r="K12" s="17">
        <v>41791</v>
      </c>
    </row>
    <row r="13" spans="1:11" x14ac:dyDescent="0.3">
      <c r="A13" t="s">
        <v>15</v>
      </c>
      <c r="B13" t="s">
        <v>23</v>
      </c>
      <c r="C13" t="s">
        <v>18</v>
      </c>
      <c r="D13" t="s">
        <v>16</v>
      </c>
      <c r="E13">
        <v>2146</v>
      </c>
      <c r="F13">
        <v>10</v>
      </c>
      <c r="G13">
        <v>350</v>
      </c>
      <c r="H13">
        <v>751100</v>
      </c>
      <c r="I13">
        <v>60088</v>
      </c>
      <c r="J13">
        <v>557960</v>
      </c>
      <c r="K13" s="17">
        <v>41579</v>
      </c>
    </row>
    <row r="14" spans="1:11" x14ac:dyDescent="0.3">
      <c r="A14" t="s">
        <v>30</v>
      </c>
      <c r="B14" t="s">
        <v>23</v>
      </c>
      <c r="C14" t="s">
        <v>18</v>
      </c>
      <c r="D14" t="s">
        <v>16</v>
      </c>
      <c r="E14">
        <v>1743</v>
      </c>
      <c r="F14">
        <v>10</v>
      </c>
      <c r="G14">
        <v>15</v>
      </c>
      <c r="H14">
        <v>26145</v>
      </c>
      <c r="I14">
        <v>1568.7</v>
      </c>
      <c r="J14">
        <v>17430</v>
      </c>
      <c r="K14" s="17">
        <v>41852</v>
      </c>
    </row>
    <row r="15" spans="1:11" x14ac:dyDescent="0.3">
      <c r="A15" t="s">
        <v>15</v>
      </c>
      <c r="B15" t="s">
        <v>23</v>
      </c>
      <c r="C15" t="s">
        <v>18</v>
      </c>
      <c r="D15" t="s">
        <v>14</v>
      </c>
      <c r="E15">
        <v>1158</v>
      </c>
      <c r="F15">
        <v>10</v>
      </c>
      <c r="G15">
        <v>20</v>
      </c>
      <c r="H15">
        <v>23160</v>
      </c>
      <c r="I15">
        <v>3474</v>
      </c>
      <c r="J15">
        <v>11580</v>
      </c>
      <c r="K15" s="17">
        <v>41699</v>
      </c>
    </row>
    <row r="16" spans="1:11" x14ac:dyDescent="0.3">
      <c r="A16" t="s">
        <v>29</v>
      </c>
      <c r="B16" t="s">
        <v>23</v>
      </c>
      <c r="C16" t="s">
        <v>18</v>
      </c>
      <c r="D16" t="s">
        <v>16</v>
      </c>
      <c r="E16">
        <v>1775</v>
      </c>
      <c r="F16">
        <v>10</v>
      </c>
      <c r="G16">
        <v>12</v>
      </c>
      <c r="H16">
        <v>21300</v>
      </c>
      <c r="I16">
        <v>1917</v>
      </c>
      <c r="J16">
        <v>5325</v>
      </c>
      <c r="K16" s="17">
        <v>41579</v>
      </c>
    </row>
    <row r="17" spans="1:11" x14ac:dyDescent="0.3">
      <c r="A17" t="s">
        <v>15</v>
      </c>
      <c r="B17" t="s">
        <v>23</v>
      </c>
      <c r="C17" t="s">
        <v>18</v>
      </c>
      <c r="D17" t="s">
        <v>16</v>
      </c>
      <c r="E17">
        <v>2409</v>
      </c>
      <c r="F17">
        <v>10</v>
      </c>
      <c r="G17">
        <v>7</v>
      </c>
      <c r="H17">
        <v>16863</v>
      </c>
      <c r="I17">
        <v>1349.04</v>
      </c>
      <c r="J17">
        <v>12045</v>
      </c>
      <c r="K17" s="17">
        <v>41518</v>
      </c>
    </row>
    <row r="18" spans="1:11" x14ac:dyDescent="0.3">
      <c r="A18" t="s">
        <v>30</v>
      </c>
      <c r="B18" t="s">
        <v>23</v>
      </c>
      <c r="C18" t="s">
        <v>18</v>
      </c>
      <c r="D18" t="s">
        <v>14</v>
      </c>
      <c r="E18">
        <v>1175</v>
      </c>
      <c r="F18">
        <v>10</v>
      </c>
      <c r="G18">
        <v>15</v>
      </c>
      <c r="H18">
        <v>17625</v>
      </c>
      <c r="I18">
        <v>2643.75</v>
      </c>
      <c r="J18">
        <v>11750</v>
      </c>
      <c r="K18" s="17">
        <v>41913</v>
      </c>
    </row>
    <row r="19" spans="1:11" x14ac:dyDescent="0.3">
      <c r="A19" t="s">
        <v>15</v>
      </c>
      <c r="B19" t="s">
        <v>23</v>
      </c>
      <c r="C19" t="s">
        <v>18</v>
      </c>
      <c r="D19" t="s">
        <v>16</v>
      </c>
      <c r="E19">
        <v>2125</v>
      </c>
      <c r="F19">
        <v>10</v>
      </c>
      <c r="G19">
        <v>7</v>
      </c>
      <c r="H19">
        <v>14875</v>
      </c>
      <c r="I19">
        <v>1041.25</v>
      </c>
      <c r="J19">
        <v>10625</v>
      </c>
      <c r="K19" s="17">
        <v>41609</v>
      </c>
    </row>
    <row r="20" spans="1:11" x14ac:dyDescent="0.3">
      <c r="A20" t="s">
        <v>30</v>
      </c>
      <c r="B20" t="s">
        <v>23</v>
      </c>
      <c r="C20" t="s">
        <v>18</v>
      </c>
      <c r="D20" t="s">
        <v>19</v>
      </c>
      <c r="E20">
        <v>747</v>
      </c>
      <c r="F20">
        <v>10</v>
      </c>
      <c r="G20">
        <v>15</v>
      </c>
      <c r="H20">
        <v>11205</v>
      </c>
      <c r="I20">
        <v>112.05</v>
      </c>
      <c r="J20">
        <v>7470</v>
      </c>
      <c r="K20" s="17">
        <v>41883</v>
      </c>
    </row>
    <row r="21" spans="1:11" x14ac:dyDescent="0.3">
      <c r="A21" t="s">
        <v>29</v>
      </c>
      <c r="B21" t="s">
        <v>23</v>
      </c>
      <c r="C21" t="s">
        <v>18</v>
      </c>
      <c r="D21" t="s">
        <v>14</v>
      </c>
      <c r="E21">
        <v>1013</v>
      </c>
      <c r="F21">
        <v>10</v>
      </c>
      <c r="G21">
        <v>12</v>
      </c>
      <c r="H21">
        <v>12156</v>
      </c>
      <c r="I21">
        <v>1580.28</v>
      </c>
      <c r="J21">
        <v>3039</v>
      </c>
      <c r="K21" s="17">
        <v>41974</v>
      </c>
    </row>
    <row r="22" spans="1:11" x14ac:dyDescent="0.3">
      <c r="A22" t="s">
        <v>15</v>
      </c>
      <c r="B22" t="s">
        <v>23</v>
      </c>
      <c r="C22" t="s">
        <v>18</v>
      </c>
      <c r="D22" t="s">
        <v>16</v>
      </c>
      <c r="E22">
        <v>1598</v>
      </c>
      <c r="F22">
        <v>10</v>
      </c>
      <c r="G22">
        <v>7</v>
      </c>
      <c r="H22">
        <v>11186</v>
      </c>
      <c r="I22">
        <v>894.88</v>
      </c>
      <c r="J22">
        <v>7990</v>
      </c>
      <c r="K22" s="17">
        <v>41852</v>
      </c>
    </row>
    <row r="23" spans="1:11" x14ac:dyDescent="0.3">
      <c r="A23" t="s">
        <v>15</v>
      </c>
      <c r="B23" t="s">
        <v>23</v>
      </c>
      <c r="C23" t="s">
        <v>18</v>
      </c>
      <c r="D23" t="s">
        <v>16</v>
      </c>
      <c r="E23">
        <v>1372</v>
      </c>
      <c r="F23">
        <v>10</v>
      </c>
      <c r="G23">
        <v>7</v>
      </c>
      <c r="H23">
        <v>9604</v>
      </c>
      <c r="I23">
        <v>480.2</v>
      </c>
      <c r="J23">
        <v>6860</v>
      </c>
      <c r="K23" s="17">
        <v>41640</v>
      </c>
    </row>
    <row r="24" spans="1:11" x14ac:dyDescent="0.3">
      <c r="A24" t="s">
        <v>29</v>
      </c>
      <c r="B24" t="s">
        <v>23</v>
      </c>
      <c r="C24" t="s">
        <v>18</v>
      </c>
      <c r="D24" t="s">
        <v>19</v>
      </c>
      <c r="E24">
        <v>766</v>
      </c>
      <c r="F24">
        <v>10</v>
      </c>
      <c r="G24">
        <v>12</v>
      </c>
      <c r="H24">
        <v>9192</v>
      </c>
      <c r="I24">
        <v>91.92</v>
      </c>
      <c r="J24">
        <v>2298</v>
      </c>
      <c r="K24" s="17">
        <v>41548</v>
      </c>
    </row>
    <row r="25" spans="1:11" x14ac:dyDescent="0.3">
      <c r="A25" t="s">
        <v>15</v>
      </c>
      <c r="B25" t="s">
        <v>23</v>
      </c>
      <c r="C25" t="s">
        <v>18</v>
      </c>
      <c r="D25" t="s">
        <v>16</v>
      </c>
      <c r="E25">
        <v>1259</v>
      </c>
      <c r="F25">
        <v>10</v>
      </c>
      <c r="G25">
        <v>7</v>
      </c>
      <c r="H25">
        <v>8813</v>
      </c>
      <c r="I25">
        <v>705.04</v>
      </c>
      <c r="J25">
        <v>6295</v>
      </c>
      <c r="K25" s="17">
        <v>41730</v>
      </c>
    </row>
    <row r="26" spans="1:11" x14ac:dyDescent="0.3">
      <c r="A26" t="s">
        <v>15</v>
      </c>
      <c r="B26" t="s">
        <v>23</v>
      </c>
      <c r="C26" t="s">
        <v>18</v>
      </c>
      <c r="D26" t="s">
        <v>16</v>
      </c>
      <c r="E26">
        <v>1095</v>
      </c>
      <c r="F26">
        <v>10</v>
      </c>
      <c r="G26">
        <v>7</v>
      </c>
      <c r="H26">
        <v>7665</v>
      </c>
      <c r="I26">
        <v>613.20000000000005</v>
      </c>
      <c r="J26">
        <v>5475</v>
      </c>
      <c r="K26" s="17">
        <v>41760</v>
      </c>
    </row>
    <row r="27" spans="1:11" x14ac:dyDescent="0.3">
      <c r="A27" t="s">
        <v>29</v>
      </c>
      <c r="B27" t="s">
        <v>23</v>
      </c>
      <c r="C27" t="s">
        <v>18</v>
      </c>
      <c r="D27" t="s">
        <v>22</v>
      </c>
      <c r="E27">
        <v>367</v>
      </c>
      <c r="F27">
        <v>10</v>
      </c>
      <c r="G27">
        <v>12</v>
      </c>
      <c r="H27">
        <v>4404</v>
      </c>
      <c r="I27">
        <v>0</v>
      </c>
      <c r="J27">
        <v>1101</v>
      </c>
      <c r="K27" s="17">
        <v>41821</v>
      </c>
    </row>
    <row r="28" spans="1:11" x14ac:dyDescent="0.3">
      <c r="A28" t="s">
        <v>15</v>
      </c>
      <c r="B28" t="s">
        <v>23</v>
      </c>
      <c r="C28" t="s">
        <v>18</v>
      </c>
      <c r="D28" t="s">
        <v>14</v>
      </c>
      <c r="E28">
        <v>241</v>
      </c>
      <c r="F28">
        <v>10</v>
      </c>
      <c r="G28">
        <v>20</v>
      </c>
      <c r="H28">
        <v>4820</v>
      </c>
      <c r="I28">
        <v>482</v>
      </c>
      <c r="J28">
        <v>2410</v>
      </c>
      <c r="K28" s="17">
        <v>41913</v>
      </c>
    </row>
    <row r="29" spans="1:11" x14ac:dyDescent="0.3">
      <c r="A29" t="s">
        <v>30</v>
      </c>
      <c r="B29" t="s">
        <v>23</v>
      </c>
      <c r="C29" t="s">
        <v>18</v>
      </c>
      <c r="D29" t="s">
        <v>14</v>
      </c>
      <c r="E29">
        <v>278</v>
      </c>
      <c r="F29">
        <v>10</v>
      </c>
      <c r="G29">
        <v>15</v>
      </c>
      <c r="H29">
        <v>4170</v>
      </c>
      <c r="I29">
        <v>583.79999999999995</v>
      </c>
      <c r="J29">
        <v>2780</v>
      </c>
      <c r="K29" s="17">
        <v>41671</v>
      </c>
    </row>
    <row r="30" spans="1:11" x14ac:dyDescent="0.3">
      <c r="A30" t="s">
        <v>15</v>
      </c>
      <c r="B30" t="s">
        <v>23</v>
      </c>
      <c r="C30" t="s">
        <v>18</v>
      </c>
      <c r="D30" t="s">
        <v>16</v>
      </c>
      <c r="E30">
        <v>360</v>
      </c>
      <c r="F30">
        <v>10</v>
      </c>
      <c r="G30">
        <v>7</v>
      </c>
      <c r="H30">
        <v>2520</v>
      </c>
      <c r="I30">
        <v>226.8</v>
      </c>
      <c r="J30">
        <v>1800</v>
      </c>
      <c r="K30" s="17">
        <v>41913</v>
      </c>
    </row>
    <row r="31" spans="1:11" x14ac:dyDescent="0.3">
      <c r="A31" t="s">
        <v>28</v>
      </c>
      <c r="B31" t="s">
        <v>23</v>
      </c>
      <c r="C31" t="s">
        <v>18</v>
      </c>
      <c r="D31" t="s">
        <v>16</v>
      </c>
      <c r="E31">
        <v>3513</v>
      </c>
      <c r="F31">
        <v>10</v>
      </c>
      <c r="G31">
        <v>125</v>
      </c>
      <c r="H31">
        <v>439125</v>
      </c>
      <c r="I31">
        <v>30738.75</v>
      </c>
      <c r="J31">
        <v>421560</v>
      </c>
      <c r="K31" s="17">
        <v>41821</v>
      </c>
    </row>
    <row r="32" spans="1:11" x14ac:dyDescent="0.3">
      <c r="A32" t="s">
        <v>11</v>
      </c>
      <c r="B32" t="s">
        <v>23</v>
      </c>
      <c r="C32" t="s">
        <v>18</v>
      </c>
      <c r="D32" t="s">
        <v>19</v>
      </c>
      <c r="E32">
        <v>1414.5</v>
      </c>
      <c r="F32">
        <v>10</v>
      </c>
      <c r="G32">
        <v>300</v>
      </c>
      <c r="H32">
        <v>424350</v>
      </c>
      <c r="I32">
        <v>16974</v>
      </c>
      <c r="J32">
        <v>353625</v>
      </c>
      <c r="K32" s="17">
        <v>41730</v>
      </c>
    </row>
    <row r="33" spans="1:11" x14ac:dyDescent="0.3">
      <c r="A33" t="s">
        <v>11</v>
      </c>
      <c r="B33" t="s">
        <v>23</v>
      </c>
      <c r="C33" t="s">
        <v>18</v>
      </c>
      <c r="D33" t="s">
        <v>14</v>
      </c>
      <c r="E33">
        <v>1359</v>
      </c>
      <c r="F33">
        <v>10</v>
      </c>
      <c r="G33">
        <v>300</v>
      </c>
      <c r="H33">
        <v>407700</v>
      </c>
      <c r="I33">
        <v>48924</v>
      </c>
      <c r="J33">
        <v>339750</v>
      </c>
      <c r="K33" s="17">
        <v>41944</v>
      </c>
    </row>
    <row r="34" spans="1:11" x14ac:dyDescent="0.3">
      <c r="A34" t="s">
        <v>15</v>
      </c>
      <c r="B34" t="s">
        <v>23</v>
      </c>
      <c r="C34" t="s">
        <v>18</v>
      </c>
      <c r="D34" t="s">
        <v>22</v>
      </c>
      <c r="E34">
        <v>1006</v>
      </c>
      <c r="F34">
        <v>10</v>
      </c>
      <c r="G34">
        <v>350</v>
      </c>
      <c r="H34">
        <v>352100</v>
      </c>
      <c r="I34">
        <v>0</v>
      </c>
      <c r="J34">
        <v>261560</v>
      </c>
      <c r="K34" s="17">
        <v>41791</v>
      </c>
    </row>
    <row r="35" spans="1:11" x14ac:dyDescent="0.3">
      <c r="A35" t="s">
        <v>11</v>
      </c>
      <c r="B35" t="s">
        <v>23</v>
      </c>
      <c r="C35" t="s">
        <v>18</v>
      </c>
      <c r="D35" t="s">
        <v>16</v>
      </c>
      <c r="E35">
        <v>1123</v>
      </c>
      <c r="F35">
        <v>10</v>
      </c>
      <c r="G35">
        <v>300</v>
      </c>
      <c r="H35">
        <v>336900</v>
      </c>
      <c r="I35">
        <v>23583</v>
      </c>
      <c r="J35">
        <v>280750</v>
      </c>
      <c r="K35" s="17">
        <v>41518</v>
      </c>
    </row>
    <row r="36" spans="1:11" x14ac:dyDescent="0.3">
      <c r="A36" t="s">
        <v>11</v>
      </c>
      <c r="B36" t="s">
        <v>23</v>
      </c>
      <c r="C36" t="s">
        <v>18</v>
      </c>
      <c r="D36" t="s">
        <v>14</v>
      </c>
      <c r="E36">
        <v>807</v>
      </c>
      <c r="F36">
        <v>10</v>
      </c>
      <c r="G36">
        <v>300</v>
      </c>
      <c r="H36">
        <v>242100</v>
      </c>
      <c r="I36">
        <v>31473</v>
      </c>
      <c r="J36">
        <v>201750</v>
      </c>
      <c r="K36" s="17">
        <v>41640</v>
      </c>
    </row>
    <row r="37" spans="1:11" x14ac:dyDescent="0.3">
      <c r="A37" t="s">
        <v>28</v>
      </c>
      <c r="B37" t="s">
        <v>23</v>
      </c>
      <c r="C37" t="s">
        <v>18</v>
      </c>
      <c r="D37" t="s">
        <v>19</v>
      </c>
      <c r="E37">
        <v>1706</v>
      </c>
      <c r="F37">
        <v>10</v>
      </c>
      <c r="G37">
        <v>125</v>
      </c>
      <c r="H37">
        <v>213250</v>
      </c>
      <c r="I37">
        <v>6397.5</v>
      </c>
      <c r="J37">
        <v>204720</v>
      </c>
      <c r="K37" s="17">
        <v>41974</v>
      </c>
    </row>
    <row r="38" spans="1:11" x14ac:dyDescent="0.3">
      <c r="A38" t="s">
        <v>11</v>
      </c>
      <c r="B38" t="s">
        <v>23</v>
      </c>
      <c r="C38" t="s">
        <v>18</v>
      </c>
      <c r="D38" t="s">
        <v>19</v>
      </c>
      <c r="E38">
        <v>689</v>
      </c>
      <c r="F38">
        <v>10</v>
      </c>
      <c r="G38">
        <v>300</v>
      </c>
      <c r="H38">
        <v>206700</v>
      </c>
      <c r="I38">
        <v>6201</v>
      </c>
      <c r="J38">
        <v>172250</v>
      </c>
      <c r="K38" s="17">
        <v>41791</v>
      </c>
    </row>
    <row r="39" spans="1:11" x14ac:dyDescent="0.3">
      <c r="A39" t="s">
        <v>28</v>
      </c>
      <c r="B39" t="s">
        <v>23</v>
      </c>
      <c r="C39" t="s">
        <v>18</v>
      </c>
      <c r="D39" t="s">
        <v>19</v>
      </c>
      <c r="E39">
        <v>1570</v>
      </c>
      <c r="F39">
        <v>10</v>
      </c>
      <c r="G39">
        <v>125</v>
      </c>
      <c r="H39">
        <v>196250</v>
      </c>
      <c r="I39">
        <v>5887.5</v>
      </c>
      <c r="J39">
        <v>188400</v>
      </c>
      <c r="K39" s="17">
        <v>41791</v>
      </c>
    </row>
    <row r="40" spans="1:11" x14ac:dyDescent="0.3">
      <c r="A40" t="s">
        <v>15</v>
      </c>
      <c r="B40" t="s">
        <v>23</v>
      </c>
      <c r="C40" t="s">
        <v>18</v>
      </c>
      <c r="D40" t="s">
        <v>22</v>
      </c>
      <c r="E40">
        <v>1513</v>
      </c>
      <c r="F40">
        <v>10</v>
      </c>
      <c r="G40">
        <v>350</v>
      </c>
      <c r="H40">
        <v>529550</v>
      </c>
      <c r="I40">
        <v>0</v>
      </c>
      <c r="J40">
        <v>393380</v>
      </c>
      <c r="K40" s="17">
        <v>41974</v>
      </c>
    </row>
    <row r="41" spans="1:11" x14ac:dyDescent="0.3">
      <c r="A41" t="s">
        <v>11</v>
      </c>
      <c r="B41" t="s">
        <v>23</v>
      </c>
      <c r="C41" t="s">
        <v>18</v>
      </c>
      <c r="D41" t="s">
        <v>19</v>
      </c>
      <c r="E41">
        <v>1728</v>
      </c>
      <c r="F41">
        <v>10</v>
      </c>
      <c r="G41">
        <v>300</v>
      </c>
      <c r="H41">
        <v>518400</v>
      </c>
      <c r="I41">
        <v>10368</v>
      </c>
      <c r="J41">
        <v>432000</v>
      </c>
      <c r="K41" s="17">
        <v>41760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G11"/>
  <sheetViews>
    <sheetView workbookViewId="0"/>
  </sheetViews>
  <sheetFormatPr defaultRowHeight="14.4" x14ac:dyDescent="0.3"/>
  <cols>
    <col min="1" max="2" width="15.5546875" bestFit="1" customWidth="1"/>
    <col min="3" max="3" width="7.33203125" bestFit="1" customWidth="1"/>
    <col min="4" max="4" width="8.6640625" bestFit="1" customWidth="1"/>
    <col min="5" max="5" width="6.5546875" bestFit="1" customWidth="1"/>
    <col min="6" max="6" width="22.109375" bestFit="1" customWidth="1"/>
    <col min="7" max="7" width="10.77734375" bestFit="1" customWidth="1"/>
    <col min="8" max="8" width="12" bestFit="1" customWidth="1"/>
  </cols>
  <sheetData>
    <row r="3" spans="1:7" x14ac:dyDescent="0.3">
      <c r="A3" s="15" t="s">
        <v>33</v>
      </c>
      <c r="B3" s="15" t="s">
        <v>34</v>
      </c>
    </row>
    <row r="4" spans="1:7" x14ac:dyDescent="0.3">
      <c r="A4" s="15" t="s">
        <v>31</v>
      </c>
      <c r="B4" t="s">
        <v>25</v>
      </c>
      <c r="C4" t="s">
        <v>26</v>
      </c>
      <c r="D4" t="s">
        <v>23</v>
      </c>
      <c r="E4" t="s">
        <v>12</v>
      </c>
      <c r="F4" t="s">
        <v>24</v>
      </c>
      <c r="G4" t="s">
        <v>32</v>
      </c>
    </row>
    <row r="5" spans="1:7" x14ac:dyDescent="0.3">
      <c r="A5" s="16" t="s">
        <v>20</v>
      </c>
      <c r="B5" s="20">
        <v>2572</v>
      </c>
      <c r="C5" s="20">
        <v>3148</v>
      </c>
      <c r="D5" s="20">
        <v>2376</v>
      </c>
      <c r="E5" s="20">
        <v>3062</v>
      </c>
      <c r="F5" s="20">
        <v>3948</v>
      </c>
      <c r="G5" s="20">
        <v>15106</v>
      </c>
    </row>
    <row r="6" spans="1:7" x14ac:dyDescent="0.3">
      <c r="A6" s="16" t="s">
        <v>17</v>
      </c>
      <c r="B6" s="20">
        <v>1871</v>
      </c>
      <c r="C6" s="20">
        <v>2172</v>
      </c>
      <c r="D6" s="20">
        <v>2557</v>
      </c>
      <c r="E6" s="20">
        <v>3143</v>
      </c>
      <c r="F6" s="20">
        <v>2818</v>
      </c>
      <c r="G6" s="20">
        <v>12561</v>
      </c>
    </row>
    <row r="7" spans="1:7" x14ac:dyDescent="0.3">
      <c r="A7" s="16" t="s">
        <v>18</v>
      </c>
      <c r="B7" s="20">
        <v>4963</v>
      </c>
      <c r="C7" s="20">
        <v>4780</v>
      </c>
      <c r="D7" s="20">
        <v>4277</v>
      </c>
      <c r="E7" s="20">
        <v>3691</v>
      </c>
      <c r="F7" s="20">
        <v>4141</v>
      </c>
      <c r="G7" s="20">
        <v>21852</v>
      </c>
    </row>
    <row r="8" spans="1:7" x14ac:dyDescent="0.3">
      <c r="A8" s="16" t="s">
        <v>27</v>
      </c>
      <c r="B8" s="20">
        <v>2019</v>
      </c>
      <c r="C8" s="20">
        <v>1686</v>
      </c>
      <c r="D8" s="20">
        <v>2665</v>
      </c>
      <c r="E8" s="20">
        <v>2605</v>
      </c>
      <c r="F8" s="20">
        <v>1915</v>
      </c>
      <c r="G8" s="20">
        <v>10890</v>
      </c>
    </row>
    <row r="9" spans="1:7" x14ac:dyDescent="0.3">
      <c r="A9" s="16" t="s">
        <v>21</v>
      </c>
      <c r="B9" s="20">
        <v>2495</v>
      </c>
      <c r="C9" s="20">
        <v>1736</v>
      </c>
      <c r="D9" s="20">
        <v>2435</v>
      </c>
      <c r="E9" s="20">
        <v>2045</v>
      </c>
      <c r="F9" s="20">
        <v>1684</v>
      </c>
      <c r="G9" s="20">
        <v>10395</v>
      </c>
    </row>
    <row r="10" spans="1:7" x14ac:dyDescent="0.3">
      <c r="A10" s="16" t="s">
        <v>13</v>
      </c>
      <c r="B10" s="20">
        <v>2660</v>
      </c>
      <c r="C10" s="20">
        <v>3058</v>
      </c>
      <c r="D10" s="20">
        <v>2270</v>
      </c>
      <c r="E10" s="20">
        <v>2034</v>
      </c>
      <c r="F10" s="20">
        <v>2074</v>
      </c>
      <c r="G10" s="20">
        <v>12096</v>
      </c>
    </row>
    <row r="11" spans="1:7" x14ac:dyDescent="0.3">
      <c r="A11" s="16" t="s">
        <v>32</v>
      </c>
      <c r="B11" s="20">
        <v>16580</v>
      </c>
      <c r="C11" s="20">
        <v>16580</v>
      </c>
      <c r="D11" s="20">
        <v>16580</v>
      </c>
      <c r="E11" s="20">
        <v>16580</v>
      </c>
      <c r="F11" s="20">
        <v>16580</v>
      </c>
      <c r="G11" s="20">
        <v>82900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9"/>
  <sheetViews>
    <sheetView workbookViewId="0">
      <selection activeCell="B6" sqref="B6"/>
    </sheetView>
  </sheetViews>
  <sheetFormatPr defaultRowHeight="14.4" x14ac:dyDescent="0.3"/>
  <cols>
    <col min="1" max="1" width="14.88671875" bestFit="1" customWidth="1"/>
    <col min="2" max="2" width="16" bestFit="1" customWidth="1"/>
    <col min="3" max="3" width="24.88671875" bestFit="1" customWidth="1"/>
  </cols>
  <sheetData>
    <row r="3" spans="1:3" x14ac:dyDescent="0.3">
      <c r="A3" s="15" t="s">
        <v>31</v>
      </c>
      <c r="B3" t="s">
        <v>35</v>
      </c>
      <c r="C3" t="s">
        <v>36</v>
      </c>
    </row>
    <row r="4" spans="1:3" x14ac:dyDescent="0.3">
      <c r="A4" s="16" t="s">
        <v>29</v>
      </c>
      <c r="B4" s="20">
        <v>161263.5</v>
      </c>
      <c r="C4" s="20">
        <v>9714</v>
      </c>
    </row>
    <row r="5" spans="1:3" x14ac:dyDescent="0.3">
      <c r="A5" s="16" t="s">
        <v>28</v>
      </c>
      <c r="B5" s="20">
        <v>168552</v>
      </c>
      <c r="C5" s="20">
        <v>9505</v>
      </c>
    </row>
    <row r="6" spans="1:3" x14ac:dyDescent="0.3">
      <c r="A6" s="16" t="s">
        <v>15</v>
      </c>
      <c r="B6" s="20">
        <v>470673.5</v>
      </c>
      <c r="C6" s="20">
        <v>29138</v>
      </c>
    </row>
    <row r="7" spans="1:3" x14ac:dyDescent="0.3">
      <c r="A7" s="16" t="s">
        <v>30</v>
      </c>
      <c r="B7" s="20">
        <v>172178</v>
      </c>
      <c r="C7" s="20">
        <v>8756</v>
      </c>
    </row>
    <row r="8" spans="1:3" x14ac:dyDescent="0.3">
      <c r="A8" s="16" t="s">
        <v>11</v>
      </c>
      <c r="B8" s="20">
        <v>153139</v>
      </c>
      <c r="C8" s="20">
        <v>10421</v>
      </c>
    </row>
    <row r="9" spans="1:3" x14ac:dyDescent="0.3">
      <c r="A9" s="16" t="s">
        <v>32</v>
      </c>
      <c r="B9" s="20">
        <v>1125806</v>
      </c>
      <c r="C9" s="20">
        <v>67534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8"/>
  <sheetViews>
    <sheetView topLeftCell="B1" workbookViewId="0">
      <selection activeCell="C4" sqref="C4"/>
    </sheetView>
  </sheetViews>
  <sheetFormatPr defaultRowHeight="14.4" x14ac:dyDescent="0.3"/>
  <cols>
    <col min="1" max="1" width="12.5546875" bestFit="1" customWidth="1"/>
    <col min="2" max="2" width="12.109375" bestFit="1" customWidth="1"/>
    <col min="3" max="3" width="15.6640625" bestFit="1" customWidth="1"/>
  </cols>
  <sheetData>
    <row r="3" spans="1:3" x14ac:dyDescent="0.3">
      <c r="A3" s="15" t="s">
        <v>31</v>
      </c>
      <c r="B3" t="s">
        <v>37</v>
      </c>
      <c r="C3" t="s">
        <v>38</v>
      </c>
    </row>
    <row r="4" spans="1:3" x14ac:dyDescent="0.3">
      <c r="A4" s="16" t="s">
        <v>14</v>
      </c>
      <c r="B4" s="20">
        <v>33983620</v>
      </c>
      <c r="C4" s="20">
        <v>5317026.2750000022</v>
      </c>
    </row>
    <row r="5" spans="1:3" x14ac:dyDescent="0.3">
      <c r="A5" s="16" t="s">
        <v>19</v>
      </c>
      <c r="B5" s="20">
        <v>28440921</v>
      </c>
      <c r="C5" s="20">
        <v>885675.80000000028</v>
      </c>
    </row>
    <row r="6" spans="1:3" x14ac:dyDescent="0.3">
      <c r="A6" s="16" t="s">
        <v>16</v>
      </c>
      <c r="B6" s="20">
        <v>33200908</v>
      </c>
      <c r="C6" s="20">
        <v>3002546.165</v>
      </c>
    </row>
    <row r="7" spans="1:3" x14ac:dyDescent="0.3">
      <c r="A7" s="16" t="s">
        <v>22</v>
      </c>
      <c r="B7" s="20">
        <v>6207199</v>
      </c>
      <c r="C7" s="20">
        <v>0</v>
      </c>
    </row>
    <row r="8" spans="1:3" x14ac:dyDescent="0.3">
      <c r="A8" s="16" t="s">
        <v>32</v>
      </c>
      <c r="B8" s="20">
        <v>101832648</v>
      </c>
      <c r="C8" s="20">
        <v>9205248.2400000021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44"/>
  <sheetViews>
    <sheetView workbookViewId="0">
      <selection activeCell="N24" sqref="N24"/>
    </sheetView>
  </sheetViews>
  <sheetFormatPr defaultRowHeight="14.4" x14ac:dyDescent="0.3"/>
  <cols>
    <col min="1" max="1" width="18.44140625" bestFit="1" customWidth="1"/>
    <col min="2" max="2" width="16.77734375" bestFit="1" customWidth="1"/>
  </cols>
  <sheetData>
    <row r="3" spans="1:2" x14ac:dyDescent="0.3">
      <c r="A3" s="15" t="s">
        <v>31</v>
      </c>
      <c r="B3" t="s">
        <v>39</v>
      </c>
    </row>
    <row r="4" spans="1:2" x14ac:dyDescent="0.3">
      <c r="A4" s="16" t="s">
        <v>43</v>
      </c>
      <c r="B4" s="20">
        <v>28560787</v>
      </c>
    </row>
    <row r="5" spans="1:2" x14ac:dyDescent="0.3">
      <c r="A5" s="21" t="s">
        <v>44</v>
      </c>
      <c r="B5" s="20">
        <v>4729736</v>
      </c>
    </row>
    <row r="6" spans="1:2" x14ac:dyDescent="0.3">
      <c r="A6" s="22" t="s">
        <v>45</v>
      </c>
      <c r="B6" s="20">
        <v>4729736</v>
      </c>
    </row>
    <row r="7" spans="1:2" x14ac:dyDescent="0.3">
      <c r="A7" s="23">
        <v>41518</v>
      </c>
      <c r="B7" s="20">
        <v>4729736</v>
      </c>
    </row>
    <row r="8" spans="1:2" x14ac:dyDescent="0.3">
      <c r="A8" s="21" t="s">
        <v>41</v>
      </c>
      <c r="B8" s="20">
        <v>23831051</v>
      </c>
    </row>
    <row r="9" spans="1:2" x14ac:dyDescent="0.3">
      <c r="A9" s="22" t="s">
        <v>46</v>
      </c>
      <c r="B9" s="20">
        <v>9828688</v>
      </c>
    </row>
    <row r="10" spans="1:2" x14ac:dyDescent="0.3">
      <c r="A10" s="23">
        <v>41548</v>
      </c>
      <c r="B10" s="20">
        <v>9828688</v>
      </c>
    </row>
    <row r="11" spans="1:2" x14ac:dyDescent="0.3">
      <c r="A11" s="22" t="s">
        <v>42</v>
      </c>
      <c r="B11" s="20">
        <v>8167338</v>
      </c>
    </row>
    <row r="12" spans="1:2" x14ac:dyDescent="0.3">
      <c r="A12" s="23">
        <v>41579</v>
      </c>
      <c r="B12" s="20">
        <v>8167338</v>
      </c>
    </row>
    <row r="13" spans="1:2" x14ac:dyDescent="0.3">
      <c r="A13" s="22" t="s">
        <v>47</v>
      </c>
      <c r="B13" s="20">
        <v>5835025</v>
      </c>
    </row>
    <row r="14" spans="1:2" x14ac:dyDescent="0.3">
      <c r="A14" s="23">
        <v>41609</v>
      </c>
      <c r="B14" s="20">
        <v>5835025</v>
      </c>
    </row>
    <row r="15" spans="1:2" x14ac:dyDescent="0.3">
      <c r="A15" s="16" t="s">
        <v>40</v>
      </c>
      <c r="B15" s="20">
        <v>99370811.5</v>
      </c>
    </row>
    <row r="16" spans="1:2" x14ac:dyDescent="0.3">
      <c r="A16" s="21" t="s">
        <v>48</v>
      </c>
      <c r="B16" s="20">
        <v>21130630.5</v>
      </c>
    </row>
    <row r="17" spans="1:2" x14ac:dyDescent="0.3">
      <c r="A17" s="22" t="s">
        <v>49</v>
      </c>
      <c r="B17" s="20">
        <v>7307403.5</v>
      </c>
    </row>
    <row r="18" spans="1:2" x14ac:dyDescent="0.3">
      <c r="A18" s="23">
        <v>41640</v>
      </c>
      <c r="B18" s="20">
        <v>7307403.5</v>
      </c>
    </row>
    <row r="19" spans="1:2" x14ac:dyDescent="0.3">
      <c r="A19" s="22" t="s">
        <v>50</v>
      </c>
      <c r="B19" s="20">
        <v>7699201</v>
      </c>
    </row>
    <row r="20" spans="1:2" x14ac:dyDescent="0.3">
      <c r="A20" s="23">
        <v>41671</v>
      </c>
      <c r="B20" s="20">
        <v>7699201</v>
      </c>
    </row>
    <row r="21" spans="1:2" x14ac:dyDescent="0.3">
      <c r="A21" s="22" t="s">
        <v>51</v>
      </c>
      <c r="B21" s="20">
        <v>6124026</v>
      </c>
    </row>
    <row r="22" spans="1:2" x14ac:dyDescent="0.3">
      <c r="A22" s="23">
        <v>41699</v>
      </c>
      <c r="B22" s="20">
        <v>6124026</v>
      </c>
    </row>
    <row r="23" spans="1:2" x14ac:dyDescent="0.3">
      <c r="A23" s="21" t="s">
        <v>52</v>
      </c>
      <c r="B23" s="20">
        <v>24466275.5</v>
      </c>
    </row>
    <row r="24" spans="1:2" x14ac:dyDescent="0.3">
      <c r="A24" s="22" t="s">
        <v>53</v>
      </c>
      <c r="B24" s="20">
        <v>7429392.5</v>
      </c>
    </row>
    <row r="25" spans="1:2" x14ac:dyDescent="0.3">
      <c r="A25" s="23">
        <v>41730</v>
      </c>
      <c r="B25" s="20">
        <v>7429392.5</v>
      </c>
    </row>
    <row r="26" spans="1:2" x14ac:dyDescent="0.3">
      <c r="A26" s="22" t="s">
        <v>54</v>
      </c>
      <c r="B26" s="20">
        <v>6767911</v>
      </c>
    </row>
    <row r="27" spans="1:2" x14ac:dyDescent="0.3">
      <c r="A27" s="23">
        <v>41760</v>
      </c>
      <c r="B27" s="20">
        <v>6767911</v>
      </c>
    </row>
    <row r="28" spans="1:2" x14ac:dyDescent="0.3">
      <c r="A28" s="22" t="s">
        <v>55</v>
      </c>
      <c r="B28" s="20">
        <v>10268972</v>
      </c>
    </row>
    <row r="29" spans="1:2" x14ac:dyDescent="0.3">
      <c r="A29" s="23">
        <v>41791</v>
      </c>
      <c r="B29" s="20">
        <v>10268972</v>
      </c>
    </row>
    <row r="30" spans="1:2" x14ac:dyDescent="0.3">
      <c r="A30" s="21" t="s">
        <v>44</v>
      </c>
      <c r="B30" s="20">
        <v>22004303.5</v>
      </c>
    </row>
    <row r="31" spans="1:2" x14ac:dyDescent="0.3">
      <c r="A31" s="22" t="s">
        <v>56</v>
      </c>
      <c r="B31" s="20">
        <v>8833027.5</v>
      </c>
    </row>
    <row r="32" spans="1:2" x14ac:dyDescent="0.3">
      <c r="A32" s="23">
        <v>41821</v>
      </c>
      <c r="B32" s="20">
        <v>8833027.5</v>
      </c>
    </row>
    <row r="33" spans="1:2" x14ac:dyDescent="0.3">
      <c r="A33" s="22" t="s">
        <v>57</v>
      </c>
      <c r="B33" s="20">
        <v>6325959</v>
      </c>
    </row>
    <row r="34" spans="1:2" x14ac:dyDescent="0.3">
      <c r="A34" s="23">
        <v>41852</v>
      </c>
      <c r="B34" s="20">
        <v>6325959</v>
      </c>
    </row>
    <row r="35" spans="1:2" x14ac:dyDescent="0.3">
      <c r="A35" s="22" t="s">
        <v>45</v>
      </c>
      <c r="B35" s="20">
        <v>6845317</v>
      </c>
    </row>
    <row r="36" spans="1:2" x14ac:dyDescent="0.3">
      <c r="A36" s="23">
        <v>41883</v>
      </c>
      <c r="B36" s="20">
        <v>6845317</v>
      </c>
    </row>
    <row r="37" spans="1:2" x14ac:dyDescent="0.3">
      <c r="A37" s="21" t="s">
        <v>41</v>
      </c>
      <c r="B37" s="20">
        <v>31769602</v>
      </c>
    </row>
    <row r="38" spans="1:2" x14ac:dyDescent="0.3">
      <c r="A38" s="22" t="s">
        <v>46</v>
      </c>
      <c r="B38" s="20">
        <v>13313424</v>
      </c>
    </row>
    <row r="39" spans="1:2" x14ac:dyDescent="0.3">
      <c r="A39" s="23">
        <v>41913</v>
      </c>
      <c r="B39" s="20">
        <v>13313424</v>
      </c>
    </row>
    <row r="40" spans="1:2" x14ac:dyDescent="0.3">
      <c r="A40" s="22" t="s">
        <v>42</v>
      </c>
      <c r="B40" s="20">
        <v>5947910</v>
      </c>
    </row>
    <row r="41" spans="1:2" x14ac:dyDescent="0.3">
      <c r="A41" s="23">
        <v>41944</v>
      </c>
      <c r="B41" s="20">
        <v>5947910</v>
      </c>
    </row>
    <row r="42" spans="1:2" x14ac:dyDescent="0.3">
      <c r="A42" s="22" t="s">
        <v>47</v>
      </c>
      <c r="B42" s="20">
        <v>12508268</v>
      </c>
    </row>
    <row r="43" spans="1:2" x14ac:dyDescent="0.3">
      <c r="A43" s="23">
        <v>41974</v>
      </c>
      <c r="B43" s="20">
        <v>12508268</v>
      </c>
    </row>
    <row r="44" spans="1:2" x14ac:dyDescent="0.3">
      <c r="A44" s="16" t="s">
        <v>32</v>
      </c>
      <c r="B44" s="20">
        <v>127931598.5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
  <sheetViews>
    <sheetView workbookViewId="0"/>
  </sheetViews>
  <sheetFormatPr defaultRowHeight="14.4" x14ac:dyDescent="0.3"/>
  <cols>
    <col min="1" max="1" width="21.5546875" bestFit="1" customWidth="1"/>
    <col min="2" max="2" width="15.5546875" bestFit="1" customWidth="1"/>
    <col min="3" max="4" width="9" bestFit="1" customWidth="1"/>
    <col min="5" max="5" width="8" bestFit="1" customWidth="1"/>
    <col min="6" max="6" width="10.77734375" bestFit="1" customWidth="1"/>
  </cols>
  <sheetData>
    <row r="1" spans="1:6" x14ac:dyDescent="0.3">
      <c r="A1" s="15" t="s">
        <v>35</v>
      </c>
      <c r="B1" s="15" t="s">
        <v>34</v>
      </c>
    </row>
    <row r="2" spans="1:6" x14ac:dyDescent="0.3">
      <c r="A2" s="15" t="s">
        <v>31</v>
      </c>
      <c r="B2" t="s">
        <v>14</v>
      </c>
      <c r="C2" t="s">
        <v>19</v>
      </c>
      <c r="D2" t="s">
        <v>16</v>
      </c>
      <c r="E2" t="s">
        <v>22</v>
      </c>
      <c r="F2" t="s">
        <v>32</v>
      </c>
    </row>
    <row r="3" spans="1:6" x14ac:dyDescent="0.3">
      <c r="A3" s="16" t="s">
        <v>25</v>
      </c>
      <c r="B3" s="20">
        <v>78860</v>
      </c>
      <c r="C3" s="20">
        <v>40731</v>
      </c>
      <c r="D3" s="20">
        <v>71226</v>
      </c>
      <c r="E3" s="20">
        <v>12508</v>
      </c>
      <c r="F3" s="20">
        <v>203325</v>
      </c>
    </row>
    <row r="4" spans="1:6" x14ac:dyDescent="0.3">
      <c r="A4" s="16" t="s">
        <v>26</v>
      </c>
      <c r="B4" s="20">
        <v>94861</v>
      </c>
      <c r="C4" s="20">
        <v>61140.5</v>
      </c>
      <c r="D4" s="20">
        <v>71613</v>
      </c>
      <c r="E4" s="20">
        <v>19814</v>
      </c>
      <c r="F4" s="20">
        <v>247428.5</v>
      </c>
    </row>
    <row r="5" spans="1:6" x14ac:dyDescent="0.3">
      <c r="A5" s="16" t="s">
        <v>23</v>
      </c>
      <c r="B5" s="20">
        <v>52010</v>
      </c>
      <c r="C5" s="20">
        <v>52174.5</v>
      </c>
      <c r="D5" s="20">
        <v>71746</v>
      </c>
      <c r="E5" s="20">
        <v>25563.5</v>
      </c>
      <c r="F5" s="20">
        <v>201494</v>
      </c>
    </row>
    <row r="6" spans="1:6" x14ac:dyDescent="0.3">
      <c r="A6" s="16" t="s">
        <v>12</v>
      </c>
      <c r="B6" s="20">
        <v>80157.5</v>
      </c>
      <c r="C6" s="20">
        <v>55735.5</v>
      </c>
      <c r="D6" s="20">
        <v>88103</v>
      </c>
      <c r="E6" s="20">
        <v>16935</v>
      </c>
      <c r="F6" s="20">
        <v>240931</v>
      </c>
    </row>
    <row r="7" spans="1:6" x14ac:dyDescent="0.3">
      <c r="A7" s="16" t="s">
        <v>24</v>
      </c>
      <c r="B7" s="20">
        <v>92197</v>
      </c>
      <c r="C7" s="20">
        <v>52077</v>
      </c>
      <c r="D7" s="20">
        <v>77010.5</v>
      </c>
      <c r="E7" s="20">
        <v>11343</v>
      </c>
      <c r="F7" s="20">
        <v>232627.5</v>
      </c>
    </row>
    <row r="8" spans="1:6" x14ac:dyDescent="0.3">
      <c r="A8" s="16" t="s">
        <v>32</v>
      </c>
      <c r="B8" s="20">
        <v>398085.5</v>
      </c>
      <c r="C8" s="20">
        <v>261858.5</v>
      </c>
      <c r="D8" s="20">
        <v>379698.5</v>
      </c>
      <c r="E8" s="20">
        <v>86163.5</v>
      </c>
      <c r="F8" s="20">
        <v>1125806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8"/>
  <sheetViews>
    <sheetView workbookViewId="0">
      <selection activeCell="F16" sqref="F16"/>
    </sheetView>
  </sheetViews>
  <sheetFormatPr defaultRowHeight="14.4" x14ac:dyDescent="0.3"/>
  <cols>
    <col min="1" max="1" width="12.5546875" bestFit="1" customWidth="1"/>
    <col min="2" max="2" width="12.109375" bestFit="1" customWidth="1"/>
  </cols>
  <sheetData>
    <row r="1" spans="1:2" x14ac:dyDescent="0.3">
      <c r="A1" s="15" t="s">
        <v>31</v>
      </c>
      <c r="B1" t="s">
        <v>37</v>
      </c>
    </row>
    <row r="2" spans="1:2" x14ac:dyDescent="0.3">
      <c r="A2" s="16" t="s">
        <v>20</v>
      </c>
      <c r="B2" s="20">
        <v>17477313</v>
      </c>
    </row>
    <row r="3" spans="1:2" x14ac:dyDescent="0.3">
      <c r="A3" s="16" t="s">
        <v>17</v>
      </c>
      <c r="B3" s="20">
        <v>15944067</v>
      </c>
    </row>
    <row r="4" spans="1:2" x14ac:dyDescent="0.3">
      <c r="A4" s="16" t="s">
        <v>18</v>
      </c>
      <c r="B4" s="20">
        <v>28213706</v>
      </c>
    </row>
    <row r="5" spans="1:2" x14ac:dyDescent="0.3">
      <c r="A5" s="16" t="s">
        <v>27</v>
      </c>
      <c r="B5" s="20">
        <v>13276047</v>
      </c>
    </row>
    <row r="6" spans="1:2" x14ac:dyDescent="0.3">
      <c r="A6" s="16" t="s">
        <v>21</v>
      </c>
      <c r="B6" s="20">
        <v>11988503</v>
      </c>
    </row>
    <row r="7" spans="1:2" x14ac:dyDescent="0.3">
      <c r="A7" s="16" t="s">
        <v>13</v>
      </c>
      <c r="B7" s="20">
        <v>14933012</v>
      </c>
    </row>
    <row r="8" spans="1:2" x14ac:dyDescent="0.3">
      <c r="A8" s="16" t="s">
        <v>32</v>
      </c>
      <c r="B8" s="20">
        <v>101832648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8"/>
  <sheetViews>
    <sheetView workbookViewId="0">
      <selection activeCell="A2" sqref="A2"/>
    </sheetView>
  </sheetViews>
  <sheetFormatPr defaultRowHeight="14.4" x14ac:dyDescent="0.3"/>
  <cols>
    <col min="1" max="1" width="12.5546875" bestFit="1" customWidth="1"/>
    <col min="2" max="2" width="15.5546875" bestFit="1" customWidth="1"/>
    <col min="3" max="3" width="10.77734375" bestFit="1" customWidth="1"/>
  </cols>
  <sheetData>
    <row r="1" spans="1:2" x14ac:dyDescent="0.3">
      <c r="A1" s="15" t="s">
        <v>31</v>
      </c>
      <c r="B1" t="s">
        <v>33</v>
      </c>
    </row>
    <row r="2" spans="1:2" x14ac:dyDescent="0.3">
      <c r="A2" s="19">
        <v>41518</v>
      </c>
      <c r="B2" s="20">
        <v>4145</v>
      </c>
    </row>
    <row r="3" spans="1:2" x14ac:dyDescent="0.3">
      <c r="A3" s="19">
        <v>41548</v>
      </c>
      <c r="B3" s="20">
        <v>8290</v>
      </c>
    </row>
    <row r="4" spans="1:2" x14ac:dyDescent="0.3">
      <c r="A4" s="19">
        <v>41579</v>
      </c>
      <c r="B4" s="20">
        <v>4145</v>
      </c>
    </row>
    <row r="5" spans="1:2" x14ac:dyDescent="0.3">
      <c r="A5" s="19">
        <v>41609</v>
      </c>
      <c r="B5" s="20">
        <v>4145</v>
      </c>
    </row>
    <row r="6" spans="1:2" x14ac:dyDescent="0.3">
      <c r="A6" s="19">
        <v>41640</v>
      </c>
      <c r="B6" s="20">
        <v>4145</v>
      </c>
    </row>
    <row r="7" spans="1:2" x14ac:dyDescent="0.3">
      <c r="A7" s="19">
        <v>41671</v>
      </c>
      <c r="B7" s="20">
        <v>4145</v>
      </c>
    </row>
    <row r="8" spans="1:2" x14ac:dyDescent="0.3">
      <c r="A8" s="19">
        <v>41699</v>
      </c>
      <c r="B8" s="20">
        <v>4145</v>
      </c>
    </row>
    <row r="9" spans="1:2" x14ac:dyDescent="0.3">
      <c r="A9" s="19">
        <v>41730</v>
      </c>
      <c r="B9" s="20">
        <v>4145</v>
      </c>
    </row>
    <row r="10" spans="1:2" x14ac:dyDescent="0.3">
      <c r="A10" s="19">
        <v>41760</v>
      </c>
      <c r="B10" s="20">
        <v>4145</v>
      </c>
    </row>
    <row r="11" spans="1:2" x14ac:dyDescent="0.3">
      <c r="A11" s="19">
        <v>41791</v>
      </c>
      <c r="B11" s="20">
        <v>8290</v>
      </c>
    </row>
    <row r="12" spans="1:2" x14ac:dyDescent="0.3">
      <c r="A12" s="19">
        <v>41821</v>
      </c>
      <c r="B12" s="20">
        <v>4145</v>
      </c>
    </row>
    <row r="13" spans="1:2" x14ac:dyDescent="0.3">
      <c r="A13" s="19">
        <v>41852</v>
      </c>
      <c r="B13" s="20">
        <v>4145</v>
      </c>
    </row>
    <row r="14" spans="1:2" x14ac:dyDescent="0.3">
      <c r="A14" s="19">
        <v>41883</v>
      </c>
      <c r="B14" s="20">
        <v>4145</v>
      </c>
    </row>
    <row r="15" spans="1:2" x14ac:dyDescent="0.3">
      <c r="A15" s="19">
        <v>41913</v>
      </c>
      <c r="B15" s="20">
        <v>8290</v>
      </c>
    </row>
    <row r="16" spans="1:2" x14ac:dyDescent="0.3">
      <c r="A16" s="19">
        <v>41944</v>
      </c>
      <c r="B16" s="20">
        <v>4145</v>
      </c>
    </row>
    <row r="17" spans="1:2" x14ac:dyDescent="0.3">
      <c r="A17" s="19">
        <v>41974</v>
      </c>
      <c r="B17" s="20">
        <v>8290</v>
      </c>
    </row>
    <row r="18" spans="1:2" x14ac:dyDescent="0.3">
      <c r="A18" s="19" t="s">
        <v>32</v>
      </c>
      <c r="B18" s="20">
        <v>82900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7"/>
  <sheetViews>
    <sheetView workbookViewId="0">
      <selection activeCell="D22" sqref="D22"/>
    </sheetView>
  </sheetViews>
  <sheetFormatPr defaultRowHeight="14.4" x14ac:dyDescent="0.3"/>
  <cols>
    <col min="1" max="1" width="14.88671875" bestFit="1" customWidth="1"/>
    <col min="2" max="2" width="15.5546875" bestFit="1" customWidth="1"/>
  </cols>
  <sheetData>
    <row r="1" spans="1:2" x14ac:dyDescent="0.3">
      <c r="A1" s="15" t="s">
        <v>31</v>
      </c>
      <c r="B1" t="s">
        <v>33</v>
      </c>
    </row>
    <row r="2" spans="1:2" x14ac:dyDescent="0.3">
      <c r="A2" s="16" t="s">
        <v>29</v>
      </c>
      <c r="B2" s="20">
        <v>1200</v>
      </c>
    </row>
    <row r="3" spans="1:2" x14ac:dyDescent="0.3">
      <c r="A3" s="16" t="s">
        <v>28</v>
      </c>
      <c r="B3" s="20">
        <v>12500</v>
      </c>
    </row>
    <row r="4" spans="1:2" x14ac:dyDescent="0.3">
      <c r="A4" s="16" t="s">
        <v>15</v>
      </c>
      <c r="B4" s="20">
        <v>37700</v>
      </c>
    </row>
    <row r="5" spans="1:2" x14ac:dyDescent="0.3">
      <c r="A5" s="16" t="s">
        <v>30</v>
      </c>
      <c r="B5" s="20">
        <v>1500</v>
      </c>
    </row>
    <row r="6" spans="1:2" x14ac:dyDescent="0.3">
      <c r="A6" s="16" t="s">
        <v>11</v>
      </c>
      <c r="B6" s="20">
        <v>30000</v>
      </c>
    </row>
    <row r="7" spans="1:2" x14ac:dyDescent="0.3">
      <c r="A7" s="16" t="s">
        <v>32</v>
      </c>
      <c r="B7" s="20">
        <v>82900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selection activeCell="I18" sqref="I18"/>
    </sheetView>
  </sheetViews>
  <sheetFormatPr defaultRowHeight="14.4" x14ac:dyDescent="0.3"/>
  <cols>
    <col min="1" max="1" width="21.5546875" bestFit="1" customWidth="1"/>
    <col min="2" max="2" width="15.5546875" bestFit="1" customWidth="1"/>
  </cols>
  <sheetData>
    <row r="1" spans="1:2" x14ac:dyDescent="0.3">
      <c r="A1" s="15" t="s">
        <v>31</v>
      </c>
      <c r="B1" t="s">
        <v>33</v>
      </c>
    </row>
    <row r="2" spans="1:2" x14ac:dyDescent="0.3">
      <c r="A2" s="16" t="s">
        <v>25</v>
      </c>
      <c r="B2" s="20">
        <v>16580</v>
      </c>
    </row>
    <row r="3" spans="1:2" x14ac:dyDescent="0.3">
      <c r="A3" s="16" t="s">
        <v>26</v>
      </c>
      <c r="B3" s="20">
        <v>16580</v>
      </c>
    </row>
    <row r="4" spans="1:2" x14ac:dyDescent="0.3">
      <c r="A4" s="16" t="s">
        <v>23</v>
      </c>
      <c r="B4" s="20">
        <v>16580</v>
      </c>
    </row>
    <row r="5" spans="1:2" x14ac:dyDescent="0.3">
      <c r="A5" s="16" t="s">
        <v>12</v>
      </c>
      <c r="B5" s="20">
        <v>16580</v>
      </c>
    </row>
    <row r="6" spans="1:2" x14ac:dyDescent="0.3">
      <c r="A6" s="16" t="s">
        <v>24</v>
      </c>
      <c r="B6" s="20">
        <v>16580</v>
      </c>
    </row>
    <row r="7" spans="1:2" x14ac:dyDescent="0.3">
      <c r="A7" s="16" t="s">
        <v>32</v>
      </c>
      <c r="B7" s="20">
        <v>82900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01"/>
  <sheetViews>
    <sheetView workbookViewId="0">
      <selection sqref="A1:K701"/>
    </sheetView>
  </sheetViews>
  <sheetFormatPr defaultRowHeight="14.4" x14ac:dyDescent="0.3"/>
  <cols>
    <col min="1" max="11" width="15.6640625" customWidth="1"/>
  </cols>
  <sheetData>
    <row r="1" spans="1:12" x14ac:dyDescent="0.3">
      <c r="A1" s="1" t="s">
        <v>0</v>
      </c>
      <c r="B1" s="2" t="s">
        <v>1</v>
      </c>
      <c r="C1" s="3" t="s">
        <v>2</v>
      </c>
      <c r="D1" s="3" t="s">
        <v>3</v>
      </c>
      <c r="E1" s="2" t="s">
        <v>4</v>
      </c>
      <c r="F1" s="3" t="s">
        <v>5</v>
      </c>
      <c r="G1" s="3" t="s">
        <v>6</v>
      </c>
      <c r="H1" s="3" t="s">
        <v>7</v>
      </c>
      <c r="I1" s="3" t="s">
        <v>8</v>
      </c>
      <c r="J1" s="3" t="s">
        <v>9</v>
      </c>
      <c r="K1" s="4" t="s">
        <v>10</v>
      </c>
    </row>
    <row r="2" spans="1:12" x14ac:dyDescent="0.3">
      <c r="A2" s="7" t="s">
        <v>11</v>
      </c>
      <c r="B2" s="8" t="s">
        <v>12</v>
      </c>
      <c r="C2" s="8" t="s">
        <v>13</v>
      </c>
      <c r="D2" s="8" t="s">
        <v>14</v>
      </c>
      <c r="E2" s="11">
        <v>2475</v>
      </c>
      <c r="F2" s="13">
        <v>260</v>
      </c>
      <c r="G2" s="13">
        <v>300</v>
      </c>
      <c r="H2" s="13">
        <v>742500</v>
      </c>
      <c r="I2" s="13">
        <v>111375</v>
      </c>
      <c r="J2" s="13">
        <v>618750</v>
      </c>
      <c r="K2" s="5">
        <v>41699</v>
      </c>
    </row>
    <row r="3" spans="1:12" x14ac:dyDescent="0.3">
      <c r="A3" s="7" t="s">
        <v>15</v>
      </c>
      <c r="B3" s="8" t="s">
        <v>12</v>
      </c>
      <c r="C3" s="8" t="s">
        <v>13</v>
      </c>
      <c r="D3" s="8" t="s">
        <v>16</v>
      </c>
      <c r="E3" s="11">
        <v>2076</v>
      </c>
      <c r="F3" s="13">
        <v>260</v>
      </c>
      <c r="G3" s="13">
        <v>350</v>
      </c>
      <c r="H3" s="13">
        <v>726600</v>
      </c>
      <c r="I3" s="13">
        <v>43596</v>
      </c>
      <c r="J3" s="13">
        <v>539760</v>
      </c>
      <c r="K3" s="5">
        <v>41548</v>
      </c>
      <c r="L3" s="18">
        <f>SUMIFS(G2:G701,B2:B701,"United States of America",C2:C701,"Carretera")</f>
        <v>1684</v>
      </c>
    </row>
    <row r="4" spans="1:12" x14ac:dyDescent="0.3">
      <c r="A4" s="7" t="s">
        <v>15</v>
      </c>
      <c r="B4" s="8" t="s">
        <v>12</v>
      </c>
      <c r="C4" s="8" t="s">
        <v>17</v>
      </c>
      <c r="D4" s="8" t="s">
        <v>16</v>
      </c>
      <c r="E4" s="11">
        <v>2076</v>
      </c>
      <c r="F4" s="13">
        <v>120</v>
      </c>
      <c r="G4" s="13">
        <v>350</v>
      </c>
      <c r="H4" s="13">
        <v>726600</v>
      </c>
      <c r="I4" s="13">
        <v>43596</v>
      </c>
      <c r="J4" s="13">
        <v>539760</v>
      </c>
      <c r="K4" s="5">
        <v>41548</v>
      </c>
    </row>
    <row r="5" spans="1:12" x14ac:dyDescent="0.3">
      <c r="A5" s="7" t="s">
        <v>11</v>
      </c>
      <c r="B5" s="8" t="s">
        <v>12</v>
      </c>
      <c r="C5" s="8" t="s">
        <v>18</v>
      </c>
      <c r="D5" s="8" t="s">
        <v>19</v>
      </c>
      <c r="E5" s="11">
        <v>2434.5</v>
      </c>
      <c r="F5" s="13">
        <v>10</v>
      </c>
      <c r="G5" s="13">
        <v>300</v>
      </c>
      <c r="H5" s="13">
        <v>730350</v>
      </c>
      <c r="I5" s="13">
        <v>21910.5</v>
      </c>
      <c r="J5" s="13">
        <v>608625</v>
      </c>
      <c r="K5" s="5">
        <v>41640</v>
      </c>
    </row>
    <row r="6" spans="1:12" x14ac:dyDescent="0.3">
      <c r="A6" s="7" t="s">
        <v>15</v>
      </c>
      <c r="B6" s="8" t="s">
        <v>12</v>
      </c>
      <c r="C6" s="8" t="s">
        <v>17</v>
      </c>
      <c r="D6" s="8" t="s">
        <v>19</v>
      </c>
      <c r="E6" s="11">
        <v>2177</v>
      </c>
      <c r="F6" s="13">
        <v>120</v>
      </c>
      <c r="G6" s="13">
        <v>350</v>
      </c>
      <c r="H6" s="13">
        <v>761950</v>
      </c>
      <c r="I6" s="13">
        <v>30478</v>
      </c>
      <c r="J6" s="13">
        <v>566020</v>
      </c>
      <c r="K6" s="5">
        <v>41913</v>
      </c>
    </row>
    <row r="7" spans="1:12" x14ac:dyDescent="0.3">
      <c r="A7" s="7" t="s">
        <v>15</v>
      </c>
      <c r="B7" s="8" t="s">
        <v>12</v>
      </c>
      <c r="C7" s="8" t="s">
        <v>20</v>
      </c>
      <c r="D7" s="8" t="s">
        <v>19</v>
      </c>
      <c r="E7" s="11">
        <v>2177</v>
      </c>
      <c r="F7" s="13">
        <v>250</v>
      </c>
      <c r="G7" s="13">
        <v>350</v>
      </c>
      <c r="H7" s="13">
        <v>761950</v>
      </c>
      <c r="I7" s="13">
        <v>30478</v>
      </c>
      <c r="J7" s="13">
        <v>566020</v>
      </c>
      <c r="K7" s="5">
        <v>41913</v>
      </c>
    </row>
    <row r="8" spans="1:12" x14ac:dyDescent="0.3">
      <c r="A8" s="7" t="s">
        <v>15</v>
      </c>
      <c r="B8" s="8" t="s">
        <v>12</v>
      </c>
      <c r="C8" s="8" t="s">
        <v>21</v>
      </c>
      <c r="D8" s="8" t="s">
        <v>19</v>
      </c>
      <c r="E8" s="11">
        <v>2155</v>
      </c>
      <c r="F8" s="13">
        <v>3</v>
      </c>
      <c r="G8" s="13">
        <v>350</v>
      </c>
      <c r="H8" s="13">
        <v>754250</v>
      </c>
      <c r="I8" s="13">
        <v>7542.5</v>
      </c>
      <c r="J8" s="13">
        <v>560300</v>
      </c>
      <c r="K8" s="5">
        <v>41974</v>
      </c>
    </row>
    <row r="9" spans="1:12" x14ac:dyDescent="0.3">
      <c r="A9" s="7" t="s">
        <v>15</v>
      </c>
      <c r="B9" s="8" t="s">
        <v>12</v>
      </c>
      <c r="C9" s="8" t="s">
        <v>18</v>
      </c>
      <c r="D9" s="8" t="s">
        <v>19</v>
      </c>
      <c r="E9" s="11">
        <v>2155</v>
      </c>
      <c r="F9" s="13">
        <v>10</v>
      </c>
      <c r="G9" s="13">
        <v>350</v>
      </c>
      <c r="H9" s="13">
        <v>754250</v>
      </c>
      <c r="I9" s="13">
        <v>7542.5</v>
      </c>
      <c r="J9" s="13">
        <v>560300</v>
      </c>
      <c r="K9" s="5">
        <v>41974</v>
      </c>
    </row>
    <row r="10" spans="1:12" x14ac:dyDescent="0.3">
      <c r="A10" s="7" t="s">
        <v>15</v>
      </c>
      <c r="B10" s="8" t="s">
        <v>12</v>
      </c>
      <c r="C10" s="8" t="s">
        <v>13</v>
      </c>
      <c r="D10" s="8" t="s">
        <v>16</v>
      </c>
      <c r="E10" s="11">
        <v>2876</v>
      </c>
      <c r="F10" s="13">
        <v>260</v>
      </c>
      <c r="G10" s="13">
        <v>350</v>
      </c>
      <c r="H10" s="13">
        <v>1006600</v>
      </c>
      <c r="I10" s="13">
        <v>70462</v>
      </c>
      <c r="J10" s="13">
        <v>747760</v>
      </c>
      <c r="K10" s="5">
        <v>41883</v>
      </c>
    </row>
    <row r="11" spans="1:12" x14ac:dyDescent="0.3">
      <c r="A11" s="7" t="s">
        <v>15</v>
      </c>
      <c r="B11" s="8" t="s">
        <v>12</v>
      </c>
      <c r="C11" s="8" t="s">
        <v>13</v>
      </c>
      <c r="D11" s="8" t="s">
        <v>22</v>
      </c>
      <c r="E11" s="11">
        <v>2750</v>
      </c>
      <c r="F11" s="13">
        <v>260</v>
      </c>
      <c r="G11" s="13">
        <v>350</v>
      </c>
      <c r="H11" s="13">
        <v>962500</v>
      </c>
      <c r="I11" s="13">
        <v>0</v>
      </c>
      <c r="J11" s="13">
        <v>715000</v>
      </c>
      <c r="K11" s="5">
        <v>41671</v>
      </c>
    </row>
    <row r="12" spans="1:12" x14ac:dyDescent="0.3">
      <c r="A12" s="7" t="s">
        <v>11</v>
      </c>
      <c r="B12" s="8" t="s">
        <v>23</v>
      </c>
      <c r="C12" s="8" t="s">
        <v>17</v>
      </c>
      <c r="D12" s="8" t="s">
        <v>14</v>
      </c>
      <c r="E12" s="11">
        <v>2536</v>
      </c>
      <c r="F12" s="13">
        <v>120</v>
      </c>
      <c r="G12" s="13">
        <v>300</v>
      </c>
      <c r="H12" s="13">
        <v>760800</v>
      </c>
      <c r="I12" s="13">
        <v>106512</v>
      </c>
      <c r="J12" s="13">
        <v>634000</v>
      </c>
      <c r="K12" s="5">
        <v>41579</v>
      </c>
    </row>
    <row r="13" spans="1:12" x14ac:dyDescent="0.3">
      <c r="A13" s="7" t="s">
        <v>15</v>
      </c>
      <c r="B13" s="8" t="s">
        <v>23</v>
      </c>
      <c r="C13" s="8" t="s">
        <v>18</v>
      </c>
      <c r="D13" s="8" t="s">
        <v>16</v>
      </c>
      <c r="E13" s="11">
        <v>2146</v>
      </c>
      <c r="F13" s="13">
        <v>10</v>
      </c>
      <c r="G13" s="13">
        <v>350</v>
      </c>
      <c r="H13" s="13">
        <v>751100</v>
      </c>
      <c r="I13" s="13">
        <v>60088</v>
      </c>
      <c r="J13" s="13">
        <v>557960</v>
      </c>
      <c r="K13" s="5">
        <v>41579</v>
      </c>
    </row>
    <row r="14" spans="1:12" x14ac:dyDescent="0.3">
      <c r="A14" s="7" t="s">
        <v>11</v>
      </c>
      <c r="B14" s="8" t="s">
        <v>23</v>
      </c>
      <c r="C14" s="8" t="s">
        <v>20</v>
      </c>
      <c r="D14" s="8" t="s">
        <v>16</v>
      </c>
      <c r="E14" s="11">
        <v>2659</v>
      </c>
      <c r="F14" s="13">
        <v>250</v>
      </c>
      <c r="G14" s="13">
        <v>300</v>
      </c>
      <c r="H14" s="13">
        <v>797700</v>
      </c>
      <c r="I14" s="13">
        <v>71793</v>
      </c>
      <c r="J14" s="13">
        <v>664750</v>
      </c>
      <c r="K14" s="5">
        <v>41671</v>
      </c>
    </row>
    <row r="15" spans="1:12" x14ac:dyDescent="0.3">
      <c r="A15" s="7" t="s">
        <v>11</v>
      </c>
      <c r="B15" s="8" t="s">
        <v>23</v>
      </c>
      <c r="C15" s="8" t="s">
        <v>21</v>
      </c>
      <c r="D15" s="8" t="s">
        <v>14</v>
      </c>
      <c r="E15" s="11">
        <v>2811</v>
      </c>
      <c r="F15" s="13">
        <v>3</v>
      </c>
      <c r="G15" s="13">
        <v>300</v>
      </c>
      <c r="H15" s="13">
        <v>843300</v>
      </c>
      <c r="I15" s="13">
        <v>92763</v>
      </c>
      <c r="J15" s="13">
        <v>702750</v>
      </c>
      <c r="K15" s="5">
        <v>41821</v>
      </c>
    </row>
    <row r="16" spans="1:12" x14ac:dyDescent="0.3">
      <c r="A16" s="7" t="s">
        <v>15</v>
      </c>
      <c r="B16" s="8" t="s">
        <v>23</v>
      </c>
      <c r="C16" s="8" t="s">
        <v>17</v>
      </c>
      <c r="D16" s="8" t="s">
        <v>19</v>
      </c>
      <c r="E16" s="11">
        <v>2877</v>
      </c>
      <c r="F16" s="13">
        <v>120</v>
      </c>
      <c r="G16" s="13">
        <v>350</v>
      </c>
      <c r="H16" s="13">
        <v>1006950</v>
      </c>
      <c r="I16" s="13">
        <v>20139</v>
      </c>
      <c r="J16" s="13">
        <v>748020</v>
      </c>
      <c r="K16" s="5">
        <v>41913</v>
      </c>
    </row>
    <row r="17" spans="1:11" x14ac:dyDescent="0.3">
      <c r="A17" s="7" t="s">
        <v>15</v>
      </c>
      <c r="B17" s="8" t="s">
        <v>23</v>
      </c>
      <c r="C17" s="8" t="s">
        <v>20</v>
      </c>
      <c r="D17" s="8" t="s">
        <v>19</v>
      </c>
      <c r="E17" s="11">
        <v>2877</v>
      </c>
      <c r="F17" s="13">
        <v>250</v>
      </c>
      <c r="G17" s="13">
        <v>350</v>
      </c>
      <c r="H17" s="13">
        <v>1006950</v>
      </c>
      <c r="I17" s="13">
        <v>20139</v>
      </c>
      <c r="J17" s="13">
        <v>748020</v>
      </c>
      <c r="K17" s="5">
        <v>41913</v>
      </c>
    </row>
    <row r="18" spans="1:11" x14ac:dyDescent="0.3">
      <c r="A18" s="7" t="s">
        <v>15</v>
      </c>
      <c r="B18" s="8" t="s">
        <v>23</v>
      </c>
      <c r="C18" s="8" t="s">
        <v>13</v>
      </c>
      <c r="D18" s="8" t="s">
        <v>19</v>
      </c>
      <c r="E18" s="11">
        <v>2966</v>
      </c>
      <c r="F18" s="13">
        <v>260</v>
      </c>
      <c r="G18" s="13">
        <v>350</v>
      </c>
      <c r="H18" s="13">
        <v>1038100</v>
      </c>
      <c r="I18" s="13">
        <v>20762</v>
      </c>
      <c r="J18" s="13">
        <v>771160</v>
      </c>
      <c r="K18" s="5">
        <v>41548</v>
      </c>
    </row>
    <row r="19" spans="1:11" x14ac:dyDescent="0.3">
      <c r="A19" s="7" t="s">
        <v>15</v>
      </c>
      <c r="B19" s="8" t="s">
        <v>23</v>
      </c>
      <c r="C19" s="8" t="s">
        <v>17</v>
      </c>
      <c r="D19" s="8" t="s">
        <v>19</v>
      </c>
      <c r="E19" s="11">
        <v>2966</v>
      </c>
      <c r="F19" s="13">
        <v>120</v>
      </c>
      <c r="G19" s="13">
        <v>350</v>
      </c>
      <c r="H19" s="13">
        <v>1038100</v>
      </c>
      <c r="I19" s="13">
        <v>20762</v>
      </c>
      <c r="J19" s="13">
        <v>771160</v>
      </c>
      <c r="K19" s="5">
        <v>41548</v>
      </c>
    </row>
    <row r="20" spans="1:11" x14ac:dyDescent="0.3">
      <c r="A20" s="7" t="s">
        <v>15</v>
      </c>
      <c r="B20" s="8" t="s">
        <v>24</v>
      </c>
      <c r="C20" s="8" t="s">
        <v>18</v>
      </c>
      <c r="D20" s="8" t="s">
        <v>14</v>
      </c>
      <c r="E20" s="11">
        <v>2007</v>
      </c>
      <c r="F20" s="13">
        <v>10</v>
      </c>
      <c r="G20" s="13">
        <v>350</v>
      </c>
      <c r="H20" s="13">
        <v>702450</v>
      </c>
      <c r="I20" s="13">
        <v>105367.5</v>
      </c>
      <c r="J20" s="13">
        <v>521820</v>
      </c>
      <c r="K20" s="5">
        <v>41579</v>
      </c>
    </row>
    <row r="21" spans="1:11" x14ac:dyDescent="0.3">
      <c r="A21" s="7" t="s">
        <v>11</v>
      </c>
      <c r="B21" s="8" t="s">
        <v>24</v>
      </c>
      <c r="C21" s="8" t="s">
        <v>17</v>
      </c>
      <c r="D21" s="8" t="s">
        <v>14</v>
      </c>
      <c r="E21" s="11">
        <v>2460</v>
      </c>
      <c r="F21" s="13">
        <v>120</v>
      </c>
      <c r="G21" s="13">
        <v>300</v>
      </c>
      <c r="H21" s="13">
        <v>738000</v>
      </c>
      <c r="I21" s="13">
        <v>103320</v>
      </c>
      <c r="J21" s="13">
        <v>615000</v>
      </c>
      <c r="K21" s="5">
        <v>41821</v>
      </c>
    </row>
    <row r="22" spans="1:11" x14ac:dyDescent="0.3">
      <c r="A22" s="7" t="s">
        <v>15</v>
      </c>
      <c r="B22" s="8" t="s">
        <v>25</v>
      </c>
      <c r="C22" s="8" t="s">
        <v>18</v>
      </c>
      <c r="D22" s="8" t="s">
        <v>14</v>
      </c>
      <c r="E22" s="11">
        <v>2151</v>
      </c>
      <c r="F22" s="13">
        <v>10</v>
      </c>
      <c r="G22" s="13">
        <v>350</v>
      </c>
      <c r="H22" s="13">
        <v>752850</v>
      </c>
      <c r="I22" s="13">
        <v>112927.5</v>
      </c>
      <c r="J22" s="13">
        <v>559260</v>
      </c>
      <c r="K22" s="5">
        <v>41579</v>
      </c>
    </row>
    <row r="23" spans="1:11" x14ac:dyDescent="0.3">
      <c r="A23" s="7" t="s">
        <v>15</v>
      </c>
      <c r="B23" s="8" t="s">
        <v>26</v>
      </c>
      <c r="C23" s="8" t="s">
        <v>18</v>
      </c>
      <c r="D23" s="8" t="s">
        <v>14</v>
      </c>
      <c r="E23" s="11">
        <v>2104.5</v>
      </c>
      <c r="F23" s="13">
        <v>10</v>
      </c>
      <c r="G23" s="13">
        <v>350</v>
      </c>
      <c r="H23" s="13">
        <v>736575</v>
      </c>
      <c r="I23" s="13">
        <v>81023.25</v>
      </c>
      <c r="J23" s="13">
        <v>547170</v>
      </c>
      <c r="K23" s="5">
        <v>41821</v>
      </c>
    </row>
    <row r="24" spans="1:11" x14ac:dyDescent="0.3">
      <c r="A24" s="7" t="s">
        <v>11</v>
      </c>
      <c r="B24" s="8" t="s">
        <v>24</v>
      </c>
      <c r="C24" s="8" t="s">
        <v>20</v>
      </c>
      <c r="D24" s="8" t="s">
        <v>14</v>
      </c>
      <c r="E24" s="11">
        <v>2541</v>
      </c>
      <c r="F24" s="13">
        <v>250</v>
      </c>
      <c r="G24" s="13">
        <v>300</v>
      </c>
      <c r="H24" s="13">
        <v>762300</v>
      </c>
      <c r="I24" s="13">
        <v>106722</v>
      </c>
      <c r="J24" s="13">
        <v>635250</v>
      </c>
      <c r="K24" s="5">
        <v>41852</v>
      </c>
    </row>
    <row r="25" spans="1:11" x14ac:dyDescent="0.3">
      <c r="A25" s="7" t="s">
        <v>11</v>
      </c>
      <c r="B25" s="8" t="s">
        <v>24</v>
      </c>
      <c r="C25" s="8" t="s">
        <v>17</v>
      </c>
      <c r="D25" s="8" t="s">
        <v>14</v>
      </c>
      <c r="E25" s="11">
        <v>2574</v>
      </c>
      <c r="F25" s="13">
        <v>120</v>
      </c>
      <c r="G25" s="13">
        <v>300</v>
      </c>
      <c r="H25" s="13">
        <v>772200</v>
      </c>
      <c r="I25" s="13">
        <v>115830</v>
      </c>
      <c r="J25" s="13">
        <v>643500</v>
      </c>
      <c r="K25" s="5">
        <v>41579</v>
      </c>
    </row>
    <row r="26" spans="1:11" x14ac:dyDescent="0.3">
      <c r="A26" s="7" t="s">
        <v>15</v>
      </c>
      <c r="B26" s="8" t="s">
        <v>24</v>
      </c>
      <c r="C26" s="8" t="s">
        <v>13</v>
      </c>
      <c r="D26" s="8" t="s">
        <v>16</v>
      </c>
      <c r="E26" s="11">
        <v>2071</v>
      </c>
      <c r="F26" s="13">
        <v>260</v>
      </c>
      <c r="G26" s="13">
        <v>350</v>
      </c>
      <c r="H26" s="13">
        <v>724850</v>
      </c>
      <c r="I26" s="13">
        <v>65236.5</v>
      </c>
      <c r="J26" s="13">
        <v>538460</v>
      </c>
      <c r="K26" s="5">
        <v>41883</v>
      </c>
    </row>
    <row r="27" spans="1:11" x14ac:dyDescent="0.3">
      <c r="A27" s="7" t="s">
        <v>15</v>
      </c>
      <c r="B27" s="8" t="s">
        <v>26</v>
      </c>
      <c r="C27" s="8" t="s">
        <v>27</v>
      </c>
      <c r="D27" s="8" t="s">
        <v>14</v>
      </c>
      <c r="E27" s="11">
        <v>2227.5</v>
      </c>
      <c r="F27" s="13">
        <v>5</v>
      </c>
      <c r="G27" s="13">
        <v>350</v>
      </c>
      <c r="H27" s="13">
        <v>779625</v>
      </c>
      <c r="I27" s="13">
        <v>109147.5</v>
      </c>
      <c r="J27" s="13">
        <v>579150</v>
      </c>
      <c r="K27" s="5">
        <v>41640</v>
      </c>
    </row>
    <row r="28" spans="1:11" x14ac:dyDescent="0.3">
      <c r="A28" s="7" t="s">
        <v>11</v>
      </c>
      <c r="B28" s="8" t="s">
        <v>25</v>
      </c>
      <c r="C28" s="8" t="s">
        <v>13</v>
      </c>
      <c r="D28" s="8" t="s">
        <v>16</v>
      </c>
      <c r="E28" s="11">
        <v>2460</v>
      </c>
      <c r="F28" s="13">
        <v>260</v>
      </c>
      <c r="G28" s="13">
        <v>300</v>
      </c>
      <c r="H28" s="13">
        <v>738000</v>
      </c>
      <c r="I28" s="13">
        <v>59040</v>
      </c>
      <c r="J28" s="13">
        <v>615000</v>
      </c>
      <c r="K28" s="5">
        <v>41791</v>
      </c>
    </row>
    <row r="29" spans="1:11" x14ac:dyDescent="0.3">
      <c r="A29" s="7" t="s">
        <v>11</v>
      </c>
      <c r="B29" s="8" t="s">
        <v>25</v>
      </c>
      <c r="C29" s="8" t="s">
        <v>18</v>
      </c>
      <c r="D29" s="8" t="s">
        <v>16</v>
      </c>
      <c r="E29" s="11">
        <v>2460</v>
      </c>
      <c r="F29" s="13">
        <v>10</v>
      </c>
      <c r="G29" s="13">
        <v>300</v>
      </c>
      <c r="H29" s="13">
        <v>738000</v>
      </c>
      <c r="I29" s="13">
        <v>59040</v>
      </c>
      <c r="J29" s="13">
        <v>615000</v>
      </c>
      <c r="K29" s="5">
        <v>41791</v>
      </c>
    </row>
    <row r="30" spans="1:11" x14ac:dyDescent="0.3">
      <c r="A30" s="7" t="s">
        <v>11</v>
      </c>
      <c r="B30" s="8" t="s">
        <v>25</v>
      </c>
      <c r="C30" s="8" t="s">
        <v>17</v>
      </c>
      <c r="D30" s="8" t="s">
        <v>14</v>
      </c>
      <c r="E30" s="11">
        <v>2605</v>
      </c>
      <c r="F30" s="13">
        <v>120</v>
      </c>
      <c r="G30" s="13">
        <v>300</v>
      </c>
      <c r="H30" s="13">
        <v>781500</v>
      </c>
      <c r="I30" s="13">
        <v>101595</v>
      </c>
      <c r="J30" s="13">
        <v>651250</v>
      </c>
      <c r="K30" s="5">
        <v>41579</v>
      </c>
    </row>
    <row r="31" spans="1:11" x14ac:dyDescent="0.3">
      <c r="A31" s="7" t="s">
        <v>11</v>
      </c>
      <c r="B31" s="8" t="s">
        <v>26</v>
      </c>
      <c r="C31" s="8" t="s">
        <v>20</v>
      </c>
      <c r="D31" s="8" t="s">
        <v>16</v>
      </c>
      <c r="E31" s="11">
        <v>2436</v>
      </c>
      <c r="F31" s="13">
        <v>250</v>
      </c>
      <c r="G31" s="13">
        <v>300</v>
      </c>
      <c r="H31" s="13">
        <v>730800</v>
      </c>
      <c r="I31" s="13">
        <v>43848</v>
      </c>
      <c r="J31" s="13">
        <v>609000</v>
      </c>
      <c r="K31" s="5">
        <v>41609</v>
      </c>
    </row>
    <row r="32" spans="1:11" x14ac:dyDescent="0.3">
      <c r="A32" s="7" t="s">
        <v>11</v>
      </c>
      <c r="B32" s="8" t="s">
        <v>25</v>
      </c>
      <c r="C32" s="8" t="s">
        <v>18</v>
      </c>
      <c r="D32" s="8" t="s">
        <v>16</v>
      </c>
      <c r="E32" s="11">
        <v>2565</v>
      </c>
      <c r="F32" s="13">
        <v>10</v>
      </c>
      <c r="G32" s="13">
        <v>300</v>
      </c>
      <c r="H32" s="13">
        <v>769500</v>
      </c>
      <c r="I32" s="13">
        <v>69255</v>
      </c>
      <c r="J32" s="13">
        <v>641250</v>
      </c>
      <c r="K32" s="5">
        <v>41640</v>
      </c>
    </row>
    <row r="33" spans="1:11" x14ac:dyDescent="0.3">
      <c r="A33" s="7" t="s">
        <v>15</v>
      </c>
      <c r="B33" s="8" t="s">
        <v>26</v>
      </c>
      <c r="C33" s="8" t="s">
        <v>13</v>
      </c>
      <c r="D33" s="8" t="s">
        <v>14</v>
      </c>
      <c r="E33" s="11">
        <v>2240</v>
      </c>
      <c r="F33" s="13">
        <v>260</v>
      </c>
      <c r="G33" s="13">
        <v>350</v>
      </c>
      <c r="H33" s="13">
        <v>784000</v>
      </c>
      <c r="I33" s="13">
        <v>78400</v>
      </c>
      <c r="J33" s="13">
        <v>582400</v>
      </c>
      <c r="K33" s="5">
        <v>41671</v>
      </c>
    </row>
    <row r="34" spans="1:11" x14ac:dyDescent="0.3">
      <c r="A34" s="7" t="s">
        <v>15</v>
      </c>
      <c r="B34" s="8" t="s">
        <v>24</v>
      </c>
      <c r="C34" s="8" t="s">
        <v>27</v>
      </c>
      <c r="D34" s="8" t="s">
        <v>14</v>
      </c>
      <c r="E34" s="11">
        <v>2313</v>
      </c>
      <c r="F34" s="13">
        <v>5</v>
      </c>
      <c r="G34" s="13">
        <v>350</v>
      </c>
      <c r="H34" s="13">
        <v>809550</v>
      </c>
      <c r="I34" s="13">
        <v>80955</v>
      </c>
      <c r="J34" s="13">
        <v>601380</v>
      </c>
      <c r="K34" s="5">
        <v>41760</v>
      </c>
    </row>
    <row r="35" spans="1:11" x14ac:dyDescent="0.3">
      <c r="A35" s="7" t="s">
        <v>11</v>
      </c>
      <c r="B35" s="8" t="s">
        <v>24</v>
      </c>
      <c r="C35" s="8" t="s">
        <v>27</v>
      </c>
      <c r="D35" s="8" t="s">
        <v>19</v>
      </c>
      <c r="E35" s="11">
        <v>2498</v>
      </c>
      <c r="F35" s="13">
        <v>5</v>
      </c>
      <c r="G35" s="13">
        <v>300</v>
      </c>
      <c r="H35" s="13">
        <v>749400</v>
      </c>
      <c r="I35" s="13">
        <v>7494</v>
      </c>
      <c r="J35" s="13">
        <v>624500</v>
      </c>
      <c r="K35" s="5">
        <v>41518</v>
      </c>
    </row>
    <row r="36" spans="1:11" x14ac:dyDescent="0.3">
      <c r="A36" s="7" t="s">
        <v>11</v>
      </c>
      <c r="B36" s="8" t="s">
        <v>25</v>
      </c>
      <c r="C36" s="8" t="s">
        <v>20</v>
      </c>
      <c r="D36" s="8" t="s">
        <v>16</v>
      </c>
      <c r="E36" s="11">
        <v>2747</v>
      </c>
      <c r="F36" s="13">
        <v>250</v>
      </c>
      <c r="G36" s="13">
        <v>300</v>
      </c>
      <c r="H36" s="13">
        <v>824100</v>
      </c>
      <c r="I36" s="13">
        <v>57687</v>
      </c>
      <c r="J36" s="13">
        <v>686750</v>
      </c>
      <c r="K36" s="5">
        <v>41671</v>
      </c>
    </row>
    <row r="37" spans="1:11" x14ac:dyDescent="0.3">
      <c r="A37" s="7" t="s">
        <v>15</v>
      </c>
      <c r="B37" s="8" t="s">
        <v>25</v>
      </c>
      <c r="C37" s="8" t="s">
        <v>18</v>
      </c>
      <c r="D37" s="8" t="s">
        <v>16</v>
      </c>
      <c r="E37" s="11">
        <v>2417</v>
      </c>
      <c r="F37" s="13">
        <v>10</v>
      </c>
      <c r="G37" s="13">
        <v>350</v>
      </c>
      <c r="H37" s="13">
        <v>845950</v>
      </c>
      <c r="I37" s="13">
        <v>76135.5</v>
      </c>
      <c r="J37" s="13">
        <v>628420</v>
      </c>
      <c r="K37" s="5">
        <v>41640</v>
      </c>
    </row>
    <row r="38" spans="1:11" x14ac:dyDescent="0.3">
      <c r="A38" s="7" t="s">
        <v>15</v>
      </c>
      <c r="B38" s="8" t="s">
        <v>26</v>
      </c>
      <c r="C38" s="8" t="s">
        <v>18</v>
      </c>
      <c r="D38" s="8" t="s">
        <v>14</v>
      </c>
      <c r="E38" s="11">
        <v>2632</v>
      </c>
      <c r="F38" s="13">
        <v>10</v>
      </c>
      <c r="G38" s="13">
        <v>350</v>
      </c>
      <c r="H38" s="13">
        <v>921200</v>
      </c>
      <c r="I38" s="13">
        <v>119756</v>
      </c>
      <c r="J38" s="13">
        <v>684320</v>
      </c>
      <c r="K38" s="5">
        <v>41791</v>
      </c>
    </row>
    <row r="39" spans="1:11" x14ac:dyDescent="0.3">
      <c r="A39" s="7" t="s">
        <v>15</v>
      </c>
      <c r="B39" s="8" t="s">
        <v>26</v>
      </c>
      <c r="C39" s="8" t="s">
        <v>17</v>
      </c>
      <c r="D39" s="8" t="s">
        <v>14</v>
      </c>
      <c r="E39" s="11">
        <v>2632</v>
      </c>
      <c r="F39" s="13">
        <v>120</v>
      </c>
      <c r="G39" s="13">
        <v>350</v>
      </c>
      <c r="H39" s="13">
        <v>921200</v>
      </c>
      <c r="I39" s="13">
        <v>119756</v>
      </c>
      <c r="J39" s="13">
        <v>684320</v>
      </c>
      <c r="K39" s="5">
        <v>41791</v>
      </c>
    </row>
    <row r="40" spans="1:11" x14ac:dyDescent="0.3">
      <c r="A40" s="7" t="s">
        <v>11</v>
      </c>
      <c r="B40" s="8" t="s">
        <v>24</v>
      </c>
      <c r="C40" s="8" t="s">
        <v>13</v>
      </c>
      <c r="D40" s="8" t="s">
        <v>14</v>
      </c>
      <c r="E40" s="11">
        <v>2993</v>
      </c>
      <c r="F40" s="13">
        <v>260</v>
      </c>
      <c r="G40" s="13">
        <v>300</v>
      </c>
      <c r="H40" s="13">
        <v>897900</v>
      </c>
      <c r="I40" s="13">
        <v>89790</v>
      </c>
      <c r="J40" s="13">
        <v>748250</v>
      </c>
      <c r="K40" s="5">
        <v>41699</v>
      </c>
    </row>
    <row r="41" spans="1:11" x14ac:dyDescent="0.3">
      <c r="A41" s="7" t="s">
        <v>11</v>
      </c>
      <c r="B41" s="8" t="s">
        <v>24</v>
      </c>
      <c r="C41" s="8" t="s">
        <v>20</v>
      </c>
      <c r="D41" s="8" t="s">
        <v>19</v>
      </c>
      <c r="E41" s="11">
        <v>2844</v>
      </c>
      <c r="F41" s="13">
        <v>250</v>
      </c>
      <c r="G41" s="13">
        <v>300</v>
      </c>
      <c r="H41" s="13">
        <v>853200</v>
      </c>
      <c r="I41" s="13">
        <v>25596</v>
      </c>
      <c r="J41" s="13">
        <v>711000</v>
      </c>
      <c r="K41" s="5">
        <v>41671</v>
      </c>
    </row>
    <row r="42" spans="1:11" x14ac:dyDescent="0.3">
      <c r="A42" s="7" t="s">
        <v>11</v>
      </c>
      <c r="B42" s="8" t="s">
        <v>24</v>
      </c>
      <c r="C42" s="8" t="s">
        <v>18</v>
      </c>
      <c r="D42" s="8" t="s">
        <v>19</v>
      </c>
      <c r="E42" s="11">
        <v>2918</v>
      </c>
      <c r="F42" s="13">
        <v>10</v>
      </c>
      <c r="G42" s="13">
        <v>300</v>
      </c>
      <c r="H42" s="13">
        <v>875400</v>
      </c>
      <c r="I42" s="13">
        <v>35016</v>
      </c>
      <c r="J42" s="13">
        <v>729500</v>
      </c>
      <c r="K42" s="5">
        <v>41760</v>
      </c>
    </row>
    <row r="43" spans="1:11" x14ac:dyDescent="0.3">
      <c r="A43" s="7" t="s">
        <v>15</v>
      </c>
      <c r="B43" s="8" t="s">
        <v>25</v>
      </c>
      <c r="C43" s="8" t="s">
        <v>18</v>
      </c>
      <c r="D43" s="8" t="s">
        <v>14</v>
      </c>
      <c r="E43" s="11">
        <v>2851</v>
      </c>
      <c r="F43" s="13">
        <v>10</v>
      </c>
      <c r="G43" s="13">
        <v>350</v>
      </c>
      <c r="H43" s="13">
        <v>997850</v>
      </c>
      <c r="I43" s="13">
        <v>149677.5</v>
      </c>
      <c r="J43" s="13">
        <v>741260</v>
      </c>
      <c r="K43" s="5">
        <v>41760</v>
      </c>
    </row>
    <row r="44" spans="1:11" x14ac:dyDescent="0.3">
      <c r="A44" s="7" t="s">
        <v>11</v>
      </c>
      <c r="B44" s="8" t="s">
        <v>24</v>
      </c>
      <c r="C44" s="8" t="s">
        <v>18</v>
      </c>
      <c r="D44" s="8" t="s">
        <v>19</v>
      </c>
      <c r="E44" s="11">
        <v>2905</v>
      </c>
      <c r="F44" s="13">
        <v>10</v>
      </c>
      <c r="G44" s="13">
        <v>300</v>
      </c>
      <c r="H44" s="13">
        <v>871500</v>
      </c>
      <c r="I44" s="13">
        <v>8715</v>
      </c>
      <c r="J44" s="13">
        <v>726250</v>
      </c>
      <c r="K44" s="5">
        <v>41944</v>
      </c>
    </row>
    <row r="45" spans="1:11" x14ac:dyDescent="0.3">
      <c r="A45" s="7" t="s">
        <v>15</v>
      </c>
      <c r="B45" s="8" t="s">
        <v>24</v>
      </c>
      <c r="C45" s="8" t="s">
        <v>20</v>
      </c>
      <c r="D45" s="8" t="s">
        <v>14</v>
      </c>
      <c r="E45" s="11">
        <v>2807</v>
      </c>
      <c r="F45" s="13">
        <v>250</v>
      </c>
      <c r="G45" s="13">
        <v>350</v>
      </c>
      <c r="H45" s="13">
        <v>982450</v>
      </c>
      <c r="I45" s="13">
        <v>98245</v>
      </c>
      <c r="J45" s="13">
        <v>729820</v>
      </c>
      <c r="K45" s="5">
        <v>41852</v>
      </c>
    </row>
    <row r="46" spans="1:11" x14ac:dyDescent="0.3">
      <c r="A46" s="7" t="s">
        <v>11</v>
      </c>
      <c r="B46" s="8" t="s">
        <v>24</v>
      </c>
      <c r="C46" s="8" t="s">
        <v>18</v>
      </c>
      <c r="D46" s="8" t="s">
        <v>14</v>
      </c>
      <c r="E46" s="11">
        <v>3495</v>
      </c>
      <c r="F46" s="13">
        <v>10</v>
      </c>
      <c r="G46" s="13">
        <v>300</v>
      </c>
      <c r="H46" s="13">
        <v>1048500</v>
      </c>
      <c r="I46" s="13">
        <v>125820</v>
      </c>
      <c r="J46" s="13">
        <v>873750</v>
      </c>
      <c r="K46" s="5">
        <v>41640</v>
      </c>
    </row>
    <row r="47" spans="1:11" x14ac:dyDescent="0.3">
      <c r="A47" s="7" t="s">
        <v>15</v>
      </c>
      <c r="B47" s="8" t="s">
        <v>26</v>
      </c>
      <c r="C47" s="8" t="s">
        <v>21</v>
      </c>
      <c r="D47" s="8" t="s">
        <v>19</v>
      </c>
      <c r="E47" s="11">
        <v>2852</v>
      </c>
      <c r="F47" s="13">
        <v>3</v>
      </c>
      <c r="G47" s="13">
        <v>350</v>
      </c>
      <c r="H47" s="13">
        <v>998200</v>
      </c>
      <c r="I47" s="13">
        <v>19964</v>
      </c>
      <c r="J47" s="13">
        <v>741520</v>
      </c>
      <c r="K47" s="5">
        <v>41974</v>
      </c>
    </row>
    <row r="48" spans="1:11" x14ac:dyDescent="0.3">
      <c r="A48" s="7" t="s">
        <v>15</v>
      </c>
      <c r="B48" s="8" t="s">
        <v>26</v>
      </c>
      <c r="C48" s="8" t="s">
        <v>18</v>
      </c>
      <c r="D48" s="8" t="s">
        <v>19</v>
      </c>
      <c r="E48" s="11">
        <v>2852</v>
      </c>
      <c r="F48" s="13">
        <v>10</v>
      </c>
      <c r="G48" s="13">
        <v>350</v>
      </c>
      <c r="H48" s="13">
        <v>998200</v>
      </c>
      <c r="I48" s="13">
        <v>19964</v>
      </c>
      <c r="J48" s="13">
        <v>741520</v>
      </c>
      <c r="K48" s="5">
        <v>41974</v>
      </c>
    </row>
    <row r="49" spans="1:11" x14ac:dyDescent="0.3">
      <c r="A49" s="7" t="s">
        <v>11</v>
      </c>
      <c r="B49" s="8" t="s">
        <v>26</v>
      </c>
      <c r="C49" s="8" t="s">
        <v>17</v>
      </c>
      <c r="D49" s="8" t="s">
        <v>16</v>
      </c>
      <c r="E49" s="11">
        <v>3793.5</v>
      </c>
      <c r="F49" s="13">
        <v>120</v>
      </c>
      <c r="G49" s="13">
        <v>300</v>
      </c>
      <c r="H49" s="13">
        <v>1138050</v>
      </c>
      <c r="I49" s="13">
        <v>102424.5</v>
      </c>
      <c r="J49" s="13">
        <v>948375</v>
      </c>
      <c r="K49" s="5">
        <v>41821</v>
      </c>
    </row>
    <row r="50" spans="1:11" x14ac:dyDescent="0.3">
      <c r="A50" s="7" t="s">
        <v>11</v>
      </c>
      <c r="B50" s="8" t="s">
        <v>26</v>
      </c>
      <c r="C50" s="8" t="s">
        <v>27</v>
      </c>
      <c r="D50" s="8" t="s">
        <v>16</v>
      </c>
      <c r="E50" s="11">
        <v>3802.5</v>
      </c>
      <c r="F50" s="13">
        <v>5</v>
      </c>
      <c r="G50" s="13">
        <v>300</v>
      </c>
      <c r="H50" s="13">
        <v>1140750</v>
      </c>
      <c r="I50" s="13">
        <v>102667.5</v>
      </c>
      <c r="J50" s="13">
        <v>950625</v>
      </c>
      <c r="K50" s="5">
        <v>41730</v>
      </c>
    </row>
    <row r="51" spans="1:11" x14ac:dyDescent="0.3">
      <c r="A51" s="7" t="s">
        <v>15</v>
      </c>
      <c r="B51" s="8" t="s">
        <v>24</v>
      </c>
      <c r="C51" s="8" t="s">
        <v>18</v>
      </c>
      <c r="D51" s="8" t="s">
        <v>19</v>
      </c>
      <c r="E51" s="11">
        <v>3450</v>
      </c>
      <c r="F51" s="13">
        <v>10</v>
      </c>
      <c r="G51" s="13">
        <v>350</v>
      </c>
      <c r="H51" s="13">
        <v>1207500</v>
      </c>
      <c r="I51" s="13">
        <v>48300</v>
      </c>
      <c r="J51" s="13">
        <v>897000</v>
      </c>
      <c r="K51" s="5">
        <v>41821</v>
      </c>
    </row>
    <row r="52" spans="1:11" x14ac:dyDescent="0.3">
      <c r="A52" s="7" t="s">
        <v>15</v>
      </c>
      <c r="B52" s="8" t="s">
        <v>12</v>
      </c>
      <c r="C52" s="8" t="s">
        <v>21</v>
      </c>
      <c r="D52" s="8" t="s">
        <v>14</v>
      </c>
      <c r="E52" s="11">
        <v>1790</v>
      </c>
      <c r="F52" s="13">
        <v>3</v>
      </c>
      <c r="G52" s="13">
        <v>350</v>
      </c>
      <c r="H52" s="13">
        <v>626500</v>
      </c>
      <c r="I52" s="13">
        <v>81445</v>
      </c>
      <c r="J52" s="13">
        <v>465400</v>
      </c>
      <c r="K52" s="5">
        <v>41699</v>
      </c>
    </row>
    <row r="53" spans="1:11" x14ac:dyDescent="0.3">
      <c r="A53" s="7" t="s">
        <v>15</v>
      </c>
      <c r="B53" s="8" t="s">
        <v>12</v>
      </c>
      <c r="C53" s="8" t="s">
        <v>18</v>
      </c>
      <c r="D53" s="8" t="s">
        <v>14</v>
      </c>
      <c r="E53" s="11">
        <v>1922</v>
      </c>
      <c r="F53" s="13">
        <v>10</v>
      </c>
      <c r="G53" s="13">
        <v>350</v>
      </c>
      <c r="H53" s="13">
        <v>672700</v>
      </c>
      <c r="I53" s="13">
        <v>94178</v>
      </c>
      <c r="J53" s="13">
        <v>499720</v>
      </c>
      <c r="K53" s="5">
        <v>41579</v>
      </c>
    </row>
    <row r="54" spans="1:11" x14ac:dyDescent="0.3">
      <c r="A54" s="7" t="s">
        <v>11</v>
      </c>
      <c r="B54" s="8" t="s">
        <v>12</v>
      </c>
      <c r="C54" s="8" t="s">
        <v>21</v>
      </c>
      <c r="D54" s="8" t="s">
        <v>16</v>
      </c>
      <c r="E54" s="11">
        <v>2181</v>
      </c>
      <c r="F54" s="13">
        <v>3</v>
      </c>
      <c r="G54" s="13">
        <v>300</v>
      </c>
      <c r="H54" s="13">
        <v>654300</v>
      </c>
      <c r="I54" s="13">
        <v>45801</v>
      </c>
      <c r="J54" s="13">
        <v>545250</v>
      </c>
      <c r="K54" s="5">
        <v>41913</v>
      </c>
    </row>
    <row r="55" spans="1:11" x14ac:dyDescent="0.3">
      <c r="A55" s="7" t="s">
        <v>11</v>
      </c>
      <c r="B55" s="8" t="s">
        <v>12</v>
      </c>
      <c r="C55" s="8" t="s">
        <v>27</v>
      </c>
      <c r="D55" s="8" t="s">
        <v>16</v>
      </c>
      <c r="E55" s="11">
        <v>2181</v>
      </c>
      <c r="F55" s="13">
        <v>5</v>
      </c>
      <c r="G55" s="13">
        <v>300</v>
      </c>
      <c r="H55" s="13">
        <v>654300</v>
      </c>
      <c r="I55" s="13">
        <v>45801</v>
      </c>
      <c r="J55" s="13">
        <v>545250</v>
      </c>
      <c r="K55" s="5">
        <v>41913</v>
      </c>
    </row>
    <row r="56" spans="1:11" x14ac:dyDescent="0.3">
      <c r="A56" s="7" t="s">
        <v>11</v>
      </c>
      <c r="B56" s="8" t="s">
        <v>12</v>
      </c>
      <c r="C56" s="8" t="s">
        <v>20</v>
      </c>
      <c r="D56" s="8" t="s">
        <v>22</v>
      </c>
      <c r="E56" s="11">
        <v>2151</v>
      </c>
      <c r="F56" s="13">
        <v>250</v>
      </c>
      <c r="G56" s="13">
        <v>300</v>
      </c>
      <c r="H56" s="13">
        <v>645300</v>
      </c>
      <c r="I56" s="13">
        <v>0</v>
      </c>
      <c r="J56" s="13">
        <v>537750</v>
      </c>
      <c r="K56" s="5">
        <v>41883</v>
      </c>
    </row>
    <row r="57" spans="1:11" x14ac:dyDescent="0.3">
      <c r="A57" s="7" t="s">
        <v>11</v>
      </c>
      <c r="B57" s="8" t="s">
        <v>23</v>
      </c>
      <c r="C57" s="8" t="s">
        <v>21</v>
      </c>
      <c r="D57" s="8" t="s">
        <v>19</v>
      </c>
      <c r="E57" s="11">
        <v>2021</v>
      </c>
      <c r="F57" s="13">
        <v>3</v>
      </c>
      <c r="G57" s="13">
        <v>300</v>
      </c>
      <c r="H57" s="13">
        <v>606300</v>
      </c>
      <c r="I57" s="13">
        <v>24252</v>
      </c>
      <c r="J57" s="13">
        <v>505250</v>
      </c>
      <c r="K57" s="5">
        <v>41913</v>
      </c>
    </row>
    <row r="58" spans="1:11" x14ac:dyDescent="0.3">
      <c r="A58" s="7" t="s">
        <v>11</v>
      </c>
      <c r="B58" s="8" t="s">
        <v>23</v>
      </c>
      <c r="C58" s="8" t="s">
        <v>27</v>
      </c>
      <c r="D58" s="8" t="s">
        <v>19</v>
      </c>
      <c r="E58" s="11">
        <v>2021</v>
      </c>
      <c r="F58" s="13">
        <v>5</v>
      </c>
      <c r="G58" s="13">
        <v>300</v>
      </c>
      <c r="H58" s="13">
        <v>606300</v>
      </c>
      <c r="I58" s="13">
        <v>24252</v>
      </c>
      <c r="J58" s="13">
        <v>505250</v>
      </c>
      <c r="K58" s="5">
        <v>41913</v>
      </c>
    </row>
    <row r="59" spans="1:11" x14ac:dyDescent="0.3">
      <c r="A59" s="7" t="s">
        <v>15</v>
      </c>
      <c r="B59" s="8" t="s">
        <v>23</v>
      </c>
      <c r="C59" s="8" t="s">
        <v>20</v>
      </c>
      <c r="D59" s="8" t="s">
        <v>14</v>
      </c>
      <c r="E59" s="11">
        <v>1870</v>
      </c>
      <c r="F59" s="13">
        <v>250</v>
      </c>
      <c r="G59" s="13">
        <v>350</v>
      </c>
      <c r="H59" s="13">
        <v>654500</v>
      </c>
      <c r="I59" s="13">
        <v>65450</v>
      </c>
      <c r="J59" s="13">
        <v>486200</v>
      </c>
      <c r="K59" s="5">
        <v>41609</v>
      </c>
    </row>
    <row r="60" spans="1:11" x14ac:dyDescent="0.3">
      <c r="A60" s="7" t="s">
        <v>15</v>
      </c>
      <c r="B60" s="8" t="s">
        <v>23</v>
      </c>
      <c r="C60" s="8" t="s">
        <v>27</v>
      </c>
      <c r="D60" s="8" t="s">
        <v>19</v>
      </c>
      <c r="E60" s="11">
        <v>1797</v>
      </c>
      <c r="F60" s="13">
        <v>5</v>
      </c>
      <c r="G60" s="13">
        <v>350</v>
      </c>
      <c r="H60" s="13">
        <v>628950</v>
      </c>
      <c r="I60" s="13">
        <v>18868.5</v>
      </c>
      <c r="J60" s="13">
        <v>467220</v>
      </c>
      <c r="K60" s="5">
        <v>41518</v>
      </c>
    </row>
    <row r="61" spans="1:11" x14ac:dyDescent="0.3">
      <c r="A61" s="7" t="s">
        <v>15</v>
      </c>
      <c r="B61" s="8" t="s">
        <v>23</v>
      </c>
      <c r="C61" s="8" t="s">
        <v>13</v>
      </c>
      <c r="D61" s="8" t="s">
        <v>19</v>
      </c>
      <c r="E61" s="11">
        <v>1907</v>
      </c>
      <c r="F61" s="13">
        <v>260</v>
      </c>
      <c r="G61" s="13">
        <v>350</v>
      </c>
      <c r="H61" s="13">
        <v>667450</v>
      </c>
      <c r="I61" s="13">
        <v>26698</v>
      </c>
      <c r="J61" s="13">
        <v>495820</v>
      </c>
      <c r="K61" s="5">
        <v>41883</v>
      </c>
    </row>
    <row r="62" spans="1:11" x14ac:dyDescent="0.3">
      <c r="A62" s="7" t="s">
        <v>11</v>
      </c>
      <c r="B62" s="8" t="s">
        <v>25</v>
      </c>
      <c r="C62" s="8" t="s">
        <v>18</v>
      </c>
      <c r="D62" s="8" t="s">
        <v>14</v>
      </c>
      <c r="E62" s="11">
        <v>2150</v>
      </c>
      <c r="F62" s="13">
        <v>10</v>
      </c>
      <c r="G62" s="13">
        <v>300</v>
      </c>
      <c r="H62" s="13">
        <v>645000</v>
      </c>
      <c r="I62" s="13">
        <v>77400</v>
      </c>
      <c r="J62" s="13">
        <v>537500</v>
      </c>
      <c r="K62" s="5">
        <v>41944</v>
      </c>
    </row>
    <row r="63" spans="1:11" x14ac:dyDescent="0.3">
      <c r="A63" s="7" t="s">
        <v>15</v>
      </c>
      <c r="B63" s="8" t="s">
        <v>24</v>
      </c>
      <c r="C63" s="8" t="s">
        <v>21</v>
      </c>
      <c r="D63" s="8" t="s">
        <v>16</v>
      </c>
      <c r="E63" s="11">
        <v>1761</v>
      </c>
      <c r="F63" s="13">
        <v>3</v>
      </c>
      <c r="G63" s="13">
        <v>350</v>
      </c>
      <c r="H63" s="13">
        <v>616350</v>
      </c>
      <c r="I63" s="13">
        <v>43144.5</v>
      </c>
      <c r="J63" s="13">
        <v>457860</v>
      </c>
      <c r="K63" s="5">
        <v>41699</v>
      </c>
    </row>
    <row r="64" spans="1:11" x14ac:dyDescent="0.3">
      <c r="A64" s="7" t="s">
        <v>11</v>
      </c>
      <c r="B64" s="8" t="s">
        <v>26</v>
      </c>
      <c r="C64" s="8" t="s">
        <v>20</v>
      </c>
      <c r="D64" s="8" t="s">
        <v>16</v>
      </c>
      <c r="E64" s="11">
        <v>2134</v>
      </c>
      <c r="F64" s="13">
        <v>250</v>
      </c>
      <c r="G64" s="13">
        <v>300</v>
      </c>
      <c r="H64" s="13">
        <v>640200</v>
      </c>
      <c r="I64" s="13">
        <v>51216</v>
      </c>
      <c r="J64" s="13">
        <v>533500</v>
      </c>
      <c r="K64" s="5">
        <v>41883</v>
      </c>
    </row>
    <row r="65" spans="1:11" x14ac:dyDescent="0.3">
      <c r="A65" s="7" t="s">
        <v>15</v>
      </c>
      <c r="B65" s="8" t="s">
        <v>26</v>
      </c>
      <c r="C65" s="8" t="s">
        <v>13</v>
      </c>
      <c r="D65" s="8" t="s">
        <v>19</v>
      </c>
      <c r="E65" s="11">
        <v>1778</v>
      </c>
      <c r="F65" s="13">
        <v>260</v>
      </c>
      <c r="G65" s="13">
        <v>350</v>
      </c>
      <c r="H65" s="13">
        <v>622300</v>
      </c>
      <c r="I65" s="13">
        <v>24892</v>
      </c>
      <c r="J65" s="13">
        <v>462280</v>
      </c>
      <c r="K65" s="5">
        <v>41609</v>
      </c>
    </row>
    <row r="66" spans="1:11" x14ac:dyDescent="0.3">
      <c r="A66" s="7" t="s">
        <v>15</v>
      </c>
      <c r="B66" s="8" t="s">
        <v>26</v>
      </c>
      <c r="C66" s="8" t="s">
        <v>18</v>
      </c>
      <c r="D66" s="8" t="s">
        <v>22</v>
      </c>
      <c r="E66" s="11">
        <v>1725</v>
      </c>
      <c r="F66" s="13">
        <v>10</v>
      </c>
      <c r="G66" s="13">
        <v>350</v>
      </c>
      <c r="H66" s="13">
        <v>603750</v>
      </c>
      <c r="I66" s="13">
        <v>0</v>
      </c>
      <c r="J66" s="13">
        <v>448500</v>
      </c>
      <c r="K66" s="5">
        <v>41579</v>
      </c>
    </row>
    <row r="67" spans="1:11" x14ac:dyDescent="0.3">
      <c r="A67" s="7" t="s">
        <v>11</v>
      </c>
      <c r="B67" s="8" t="s">
        <v>24</v>
      </c>
      <c r="C67" s="8" t="s">
        <v>17</v>
      </c>
      <c r="D67" s="8" t="s">
        <v>14</v>
      </c>
      <c r="E67" s="11">
        <v>2294</v>
      </c>
      <c r="F67" s="13">
        <v>120</v>
      </c>
      <c r="G67" s="13">
        <v>300</v>
      </c>
      <c r="H67" s="13">
        <v>688200</v>
      </c>
      <c r="I67" s="13">
        <v>68820</v>
      </c>
      <c r="J67" s="13">
        <v>573500</v>
      </c>
      <c r="K67" s="5">
        <v>41548</v>
      </c>
    </row>
    <row r="68" spans="1:11" x14ac:dyDescent="0.3">
      <c r="A68" s="7" t="s">
        <v>11</v>
      </c>
      <c r="B68" s="8" t="s">
        <v>24</v>
      </c>
      <c r="C68" s="8" t="s">
        <v>20</v>
      </c>
      <c r="D68" s="8" t="s">
        <v>14</v>
      </c>
      <c r="E68" s="11">
        <v>2294</v>
      </c>
      <c r="F68" s="13">
        <v>250</v>
      </c>
      <c r="G68" s="13">
        <v>300</v>
      </c>
      <c r="H68" s="13">
        <v>688200</v>
      </c>
      <c r="I68" s="13">
        <v>68820</v>
      </c>
      <c r="J68" s="13">
        <v>573500</v>
      </c>
      <c r="K68" s="5">
        <v>41548</v>
      </c>
    </row>
    <row r="69" spans="1:11" x14ac:dyDescent="0.3">
      <c r="A69" s="7" t="s">
        <v>15</v>
      </c>
      <c r="B69" s="8" t="s">
        <v>25</v>
      </c>
      <c r="C69" s="8" t="s">
        <v>13</v>
      </c>
      <c r="D69" s="8" t="s">
        <v>19</v>
      </c>
      <c r="E69" s="11">
        <v>1865</v>
      </c>
      <c r="F69" s="13">
        <v>260</v>
      </c>
      <c r="G69" s="13">
        <v>350</v>
      </c>
      <c r="H69" s="13">
        <v>652750</v>
      </c>
      <c r="I69" s="13">
        <v>26110</v>
      </c>
      <c r="J69" s="13">
        <v>484900</v>
      </c>
      <c r="K69" s="5">
        <v>41671</v>
      </c>
    </row>
    <row r="70" spans="1:11" x14ac:dyDescent="0.3">
      <c r="A70" s="7" t="s">
        <v>15</v>
      </c>
      <c r="B70" s="8" t="s">
        <v>25</v>
      </c>
      <c r="C70" s="8" t="s">
        <v>20</v>
      </c>
      <c r="D70" s="8" t="s">
        <v>19</v>
      </c>
      <c r="E70" s="11">
        <v>1940</v>
      </c>
      <c r="F70" s="13">
        <v>250</v>
      </c>
      <c r="G70" s="13">
        <v>350</v>
      </c>
      <c r="H70" s="13">
        <v>679000</v>
      </c>
      <c r="I70" s="13">
        <v>13580</v>
      </c>
      <c r="J70" s="13">
        <v>504400</v>
      </c>
      <c r="K70" s="5">
        <v>41609</v>
      </c>
    </row>
    <row r="71" spans="1:11" x14ac:dyDescent="0.3">
      <c r="A71" s="7" t="s">
        <v>11</v>
      </c>
      <c r="B71" s="8" t="s">
        <v>24</v>
      </c>
      <c r="C71" s="8" t="s">
        <v>27</v>
      </c>
      <c r="D71" s="8" t="s">
        <v>19</v>
      </c>
      <c r="E71" s="11">
        <v>2301</v>
      </c>
      <c r="F71" s="13">
        <v>5</v>
      </c>
      <c r="G71" s="13">
        <v>300</v>
      </c>
      <c r="H71" s="13">
        <v>690300</v>
      </c>
      <c r="I71" s="13">
        <v>6903</v>
      </c>
      <c r="J71" s="13">
        <v>575250</v>
      </c>
      <c r="K71" s="5">
        <v>41730</v>
      </c>
    </row>
    <row r="72" spans="1:11" x14ac:dyDescent="0.3">
      <c r="A72" s="7" t="s">
        <v>11</v>
      </c>
      <c r="B72" s="8" t="s">
        <v>12</v>
      </c>
      <c r="C72" s="8" t="s">
        <v>27</v>
      </c>
      <c r="D72" s="8" t="s">
        <v>14</v>
      </c>
      <c r="E72" s="11">
        <v>1773</v>
      </c>
      <c r="F72" s="13">
        <v>5</v>
      </c>
      <c r="G72" s="13">
        <v>300</v>
      </c>
      <c r="H72" s="13">
        <v>531900</v>
      </c>
      <c r="I72" s="13">
        <v>63828</v>
      </c>
      <c r="J72" s="13">
        <v>443250</v>
      </c>
      <c r="K72" s="5">
        <v>41730</v>
      </c>
    </row>
    <row r="73" spans="1:11" x14ac:dyDescent="0.3">
      <c r="A73" s="7" t="s">
        <v>15</v>
      </c>
      <c r="B73" s="8" t="s">
        <v>12</v>
      </c>
      <c r="C73" s="8" t="s">
        <v>18</v>
      </c>
      <c r="D73" s="8" t="s">
        <v>14</v>
      </c>
      <c r="E73" s="11">
        <v>1594</v>
      </c>
      <c r="F73" s="13">
        <v>10</v>
      </c>
      <c r="G73" s="13">
        <v>350</v>
      </c>
      <c r="H73" s="13">
        <v>557900</v>
      </c>
      <c r="I73" s="13">
        <v>66948</v>
      </c>
      <c r="J73" s="13">
        <v>414440</v>
      </c>
      <c r="K73" s="5">
        <v>41944</v>
      </c>
    </row>
    <row r="74" spans="1:11" x14ac:dyDescent="0.3">
      <c r="A74" s="7" t="s">
        <v>15</v>
      </c>
      <c r="B74" s="8" t="s">
        <v>12</v>
      </c>
      <c r="C74" s="8" t="s">
        <v>18</v>
      </c>
      <c r="D74" s="8" t="s">
        <v>16</v>
      </c>
      <c r="E74" s="11">
        <v>1496</v>
      </c>
      <c r="F74" s="13">
        <v>10</v>
      </c>
      <c r="G74" s="13">
        <v>350</v>
      </c>
      <c r="H74" s="13">
        <v>523600</v>
      </c>
      <c r="I74" s="13">
        <v>31416</v>
      </c>
      <c r="J74" s="13">
        <v>388960</v>
      </c>
      <c r="K74" s="5">
        <v>41791</v>
      </c>
    </row>
    <row r="75" spans="1:11" x14ac:dyDescent="0.3">
      <c r="A75" s="7" t="s">
        <v>15</v>
      </c>
      <c r="B75" s="8" t="s">
        <v>12</v>
      </c>
      <c r="C75" s="8" t="s">
        <v>17</v>
      </c>
      <c r="D75" s="8" t="s">
        <v>16</v>
      </c>
      <c r="E75" s="11">
        <v>1496</v>
      </c>
      <c r="F75" s="13">
        <v>120</v>
      </c>
      <c r="G75" s="13">
        <v>350</v>
      </c>
      <c r="H75" s="13">
        <v>523600</v>
      </c>
      <c r="I75" s="13">
        <v>31416</v>
      </c>
      <c r="J75" s="13">
        <v>388960</v>
      </c>
      <c r="K75" s="5">
        <v>41791</v>
      </c>
    </row>
    <row r="76" spans="1:11" x14ac:dyDescent="0.3">
      <c r="A76" s="7" t="s">
        <v>28</v>
      </c>
      <c r="B76" s="8" t="s">
        <v>12</v>
      </c>
      <c r="C76" s="8" t="s">
        <v>21</v>
      </c>
      <c r="D76" s="8" t="s">
        <v>19</v>
      </c>
      <c r="E76" s="11">
        <v>4243.5</v>
      </c>
      <c r="F76" s="13">
        <v>3</v>
      </c>
      <c r="G76" s="13">
        <v>125</v>
      </c>
      <c r="H76" s="13">
        <v>530437.5</v>
      </c>
      <c r="I76" s="13">
        <v>15913.125</v>
      </c>
      <c r="J76" s="13">
        <v>509220</v>
      </c>
      <c r="K76" s="5">
        <v>41730</v>
      </c>
    </row>
    <row r="77" spans="1:11" x14ac:dyDescent="0.3">
      <c r="A77" s="7" t="s">
        <v>15</v>
      </c>
      <c r="B77" s="8" t="s">
        <v>12</v>
      </c>
      <c r="C77" s="8" t="s">
        <v>27</v>
      </c>
      <c r="D77" s="8" t="s">
        <v>16</v>
      </c>
      <c r="E77" s="11">
        <v>1666</v>
      </c>
      <c r="F77" s="13">
        <v>5</v>
      </c>
      <c r="G77" s="13">
        <v>350</v>
      </c>
      <c r="H77" s="13">
        <v>583100</v>
      </c>
      <c r="I77" s="13">
        <v>52479</v>
      </c>
      <c r="J77" s="13">
        <v>433160</v>
      </c>
      <c r="K77" s="5">
        <v>41760</v>
      </c>
    </row>
    <row r="78" spans="1:11" x14ac:dyDescent="0.3">
      <c r="A78" s="7" t="s">
        <v>15</v>
      </c>
      <c r="B78" s="8" t="s">
        <v>12</v>
      </c>
      <c r="C78" s="8" t="s">
        <v>20</v>
      </c>
      <c r="D78" s="8" t="s">
        <v>22</v>
      </c>
      <c r="E78" s="11">
        <v>1527</v>
      </c>
      <c r="F78" s="13">
        <v>250</v>
      </c>
      <c r="G78" s="13">
        <v>350</v>
      </c>
      <c r="H78" s="13">
        <v>534450</v>
      </c>
      <c r="I78" s="13">
        <v>0</v>
      </c>
      <c r="J78" s="13">
        <v>397020</v>
      </c>
      <c r="K78" s="5">
        <v>41518</v>
      </c>
    </row>
    <row r="79" spans="1:11" x14ac:dyDescent="0.3">
      <c r="A79" s="7" t="s">
        <v>28</v>
      </c>
      <c r="B79" s="8" t="s">
        <v>12</v>
      </c>
      <c r="C79" s="8" t="s">
        <v>21</v>
      </c>
      <c r="D79" s="8" t="s">
        <v>14</v>
      </c>
      <c r="E79" s="11">
        <v>1482</v>
      </c>
      <c r="F79" s="13">
        <v>3</v>
      </c>
      <c r="G79" s="13">
        <v>125</v>
      </c>
      <c r="H79" s="13">
        <v>185250</v>
      </c>
      <c r="I79" s="13">
        <v>18525</v>
      </c>
      <c r="J79" s="13">
        <v>177840</v>
      </c>
      <c r="K79" s="5">
        <v>41609</v>
      </c>
    </row>
    <row r="80" spans="1:11" x14ac:dyDescent="0.3">
      <c r="A80" s="7" t="s">
        <v>15</v>
      </c>
      <c r="B80" s="8" t="s">
        <v>12</v>
      </c>
      <c r="C80" s="8" t="s">
        <v>20</v>
      </c>
      <c r="D80" s="8" t="s">
        <v>16</v>
      </c>
      <c r="E80" s="11">
        <v>574.5</v>
      </c>
      <c r="F80" s="13">
        <v>250</v>
      </c>
      <c r="G80" s="13">
        <v>350</v>
      </c>
      <c r="H80" s="13">
        <v>201075</v>
      </c>
      <c r="I80" s="13">
        <v>16086</v>
      </c>
      <c r="J80" s="13">
        <v>149370</v>
      </c>
      <c r="K80" s="5">
        <v>41730</v>
      </c>
    </row>
    <row r="81" spans="1:11" x14ac:dyDescent="0.3">
      <c r="A81" s="7" t="s">
        <v>15</v>
      </c>
      <c r="B81" s="8" t="s">
        <v>12</v>
      </c>
      <c r="C81" s="8" t="s">
        <v>17</v>
      </c>
      <c r="D81" s="8" t="s">
        <v>14</v>
      </c>
      <c r="E81" s="11">
        <v>639</v>
      </c>
      <c r="F81" s="13">
        <v>120</v>
      </c>
      <c r="G81" s="13">
        <v>350</v>
      </c>
      <c r="H81" s="13">
        <v>223650</v>
      </c>
      <c r="I81" s="13">
        <v>22365</v>
      </c>
      <c r="J81" s="13">
        <v>166140</v>
      </c>
      <c r="K81" s="5">
        <v>41821</v>
      </c>
    </row>
    <row r="82" spans="1:11" x14ac:dyDescent="0.3">
      <c r="A82" s="7" t="s">
        <v>28</v>
      </c>
      <c r="B82" s="8" t="s">
        <v>12</v>
      </c>
      <c r="C82" s="8" t="s">
        <v>27</v>
      </c>
      <c r="D82" s="8" t="s">
        <v>16</v>
      </c>
      <c r="E82" s="11">
        <v>1857</v>
      </c>
      <c r="F82" s="13">
        <v>5</v>
      </c>
      <c r="G82" s="13">
        <v>125</v>
      </c>
      <c r="H82" s="13">
        <v>232125</v>
      </c>
      <c r="I82" s="13">
        <v>20891.25</v>
      </c>
      <c r="J82" s="13">
        <v>222840</v>
      </c>
      <c r="K82" s="5">
        <v>41579</v>
      </c>
    </row>
    <row r="83" spans="1:11" x14ac:dyDescent="0.3">
      <c r="A83" s="7" t="s">
        <v>28</v>
      </c>
      <c r="B83" s="8" t="s">
        <v>12</v>
      </c>
      <c r="C83" s="8" t="s">
        <v>20</v>
      </c>
      <c r="D83" s="8" t="s">
        <v>19</v>
      </c>
      <c r="E83" s="11">
        <v>1744</v>
      </c>
      <c r="F83" s="13">
        <v>250</v>
      </c>
      <c r="G83" s="13">
        <v>125</v>
      </c>
      <c r="H83" s="13">
        <v>218000</v>
      </c>
      <c r="I83" s="13">
        <v>2180</v>
      </c>
      <c r="J83" s="13">
        <v>209280</v>
      </c>
      <c r="K83" s="5">
        <v>41944</v>
      </c>
    </row>
    <row r="84" spans="1:11" x14ac:dyDescent="0.3">
      <c r="A84" s="7" t="s">
        <v>28</v>
      </c>
      <c r="B84" s="8" t="s">
        <v>12</v>
      </c>
      <c r="C84" s="8" t="s">
        <v>17</v>
      </c>
      <c r="D84" s="8" t="s">
        <v>22</v>
      </c>
      <c r="E84" s="11">
        <v>1804</v>
      </c>
      <c r="F84" s="13">
        <v>120</v>
      </c>
      <c r="G84" s="13">
        <v>125</v>
      </c>
      <c r="H84" s="13">
        <v>225500</v>
      </c>
      <c r="I84" s="13">
        <v>0</v>
      </c>
      <c r="J84" s="13">
        <v>216480</v>
      </c>
      <c r="K84" s="5">
        <v>41671</v>
      </c>
    </row>
    <row r="85" spans="1:11" x14ac:dyDescent="0.3">
      <c r="A85" s="7" t="s">
        <v>11</v>
      </c>
      <c r="B85" s="8" t="s">
        <v>12</v>
      </c>
      <c r="C85" s="8" t="s">
        <v>13</v>
      </c>
      <c r="D85" s="8" t="s">
        <v>14</v>
      </c>
      <c r="E85" s="11">
        <v>853</v>
      </c>
      <c r="F85" s="13">
        <v>260</v>
      </c>
      <c r="G85" s="13">
        <v>300</v>
      </c>
      <c r="H85" s="13">
        <v>255900</v>
      </c>
      <c r="I85" s="13">
        <v>25590</v>
      </c>
      <c r="J85" s="13">
        <v>213250</v>
      </c>
      <c r="K85" s="5">
        <v>41974</v>
      </c>
    </row>
    <row r="86" spans="1:11" x14ac:dyDescent="0.3">
      <c r="A86" s="7" t="s">
        <v>11</v>
      </c>
      <c r="B86" s="8" t="s">
        <v>12</v>
      </c>
      <c r="C86" s="8" t="s">
        <v>17</v>
      </c>
      <c r="D86" s="8" t="s">
        <v>14</v>
      </c>
      <c r="E86" s="11">
        <v>853</v>
      </c>
      <c r="F86" s="13">
        <v>120</v>
      </c>
      <c r="G86" s="13">
        <v>300</v>
      </c>
      <c r="H86" s="13">
        <v>255900</v>
      </c>
      <c r="I86" s="13">
        <v>25590</v>
      </c>
      <c r="J86" s="13">
        <v>213250</v>
      </c>
      <c r="K86" s="5">
        <v>41974</v>
      </c>
    </row>
    <row r="87" spans="1:11" x14ac:dyDescent="0.3">
      <c r="A87" s="7" t="s">
        <v>28</v>
      </c>
      <c r="B87" s="8" t="s">
        <v>12</v>
      </c>
      <c r="C87" s="8" t="s">
        <v>13</v>
      </c>
      <c r="D87" s="8" t="s">
        <v>16</v>
      </c>
      <c r="E87" s="11">
        <v>1987.5</v>
      </c>
      <c r="F87" s="13">
        <v>260</v>
      </c>
      <c r="G87" s="13">
        <v>125</v>
      </c>
      <c r="H87" s="13">
        <v>248437.5</v>
      </c>
      <c r="I87" s="13">
        <v>14906.25</v>
      </c>
      <c r="J87" s="13">
        <v>238500</v>
      </c>
      <c r="K87" s="5">
        <v>41640</v>
      </c>
    </row>
    <row r="88" spans="1:11" x14ac:dyDescent="0.3">
      <c r="A88" s="7" t="s">
        <v>11</v>
      </c>
      <c r="B88" s="8" t="s">
        <v>12</v>
      </c>
      <c r="C88" s="8" t="s">
        <v>20</v>
      </c>
      <c r="D88" s="8" t="s">
        <v>16</v>
      </c>
      <c r="E88" s="11">
        <v>959</v>
      </c>
      <c r="F88" s="13">
        <v>250</v>
      </c>
      <c r="G88" s="13">
        <v>300</v>
      </c>
      <c r="H88" s="13">
        <v>287700</v>
      </c>
      <c r="I88" s="13">
        <v>20139</v>
      </c>
      <c r="J88" s="13">
        <v>239750</v>
      </c>
      <c r="K88" s="5">
        <v>41671</v>
      </c>
    </row>
    <row r="89" spans="1:11" x14ac:dyDescent="0.3">
      <c r="A89" s="7" t="s">
        <v>11</v>
      </c>
      <c r="B89" s="8" t="s">
        <v>12</v>
      </c>
      <c r="C89" s="8" t="s">
        <v>18</v>
      </c>
      <c r="D89" s="8" t="s">
        <v>19</v>
      </c>
      <c r="E89" s="11">
        <v>918</v>
      </c>
      <c r="F89" s="13">
        <v>10</v>
      </c>
      <c r="G89" s="13">
        <v>300</v>
      </c>
      <c r="H89" s="13">
        <v>275400</v>
      </c>
      <c r="I89" s="13">
        <v>5508</v>
      </c>
      <c r="J89" s="13">
        <v>229500</v>
      </c>
      <c r="K89" s="5">
        <v>41760</v>
      </c>
    </row>
    <row r="90" spans="1:11" x14ac:dyDescent="0.3">
      <c r="A90" s="7" t="s">
        <v>28</v>
      </c>
      <c r="B90" s="8" t="s">
        <v>12</v>
      </c>
      <c r="C90" s="8" t="s">
        <v>21</v>
      </c>
      <c r="D90" s="8" t="s">
        <v>14</v>
      </c>
      <c r="E90" s="11">
        <v>2441</v>
      </c>
      <c r="F90" s="13">
        <v>3</v>
      </c>
      <c r="G90" s="13">
        <v>125</v>
      </c>
      <c r="H90" s="13">
        <v>305125</v>
      </c>
      <c r="I90" s="13">
        <v>33563.75</v>
      </c>
      <c r="J90" s="13">
        <v>292920</v>
      </c>
      <c r="K90" s="5">
        <v>41913</v>
      </c>
    </row>
    <row r="91" spans="1:11" x14ac:dyDescent="0.3">
      <c r="A91" s="7" t="s">
        <v>28</v>
      </c>
      <c r="B91" s="8" t="s">
        <v>12</v>
      </c>
      <c r="C91" s="8" t="s">
        <v>18</v>
      </c>
      <c r="D91" s="8" t="s">
        <v>14</v>
      </c>
      <c r="E91" s="11">
        <v>2441</v>
      </c>
      <c r="F91" s="13">
        <v>10</v>
      </c>
      <c r="G91" s="13">
        <v>125</v>
      </c>
      <c r="H91" s="13">
        <v>305125</v>
      </c>
      <c r="I91" s="13">
        <v>33563.75</v>
      </c>
      <c r="J91" s="13">
        <v>292920</v>
      </c>
      <c r="K91" s="5">
        <v>41913</v>
      </c>
    </row>
    <row r="92" spans="1:11" x14ac:dyDescent="0.3">
      <c r="A92" s="7" t="s">
        <v>28</v>
      </c>
      <c r="B92" s="8" t="s">
        <v>12</v>
      </c>
      <c r="C92" s="8" t="s">
        <v>18</v>
      </c>
      <c r="D92" s="8" t="s">
        <v>16</v>
      </c>
      <c r="E92" s="11">
        <v>2385</v>
      </c>
      <c r="F92" s="13">
        <v>10</v>
      </c>
      <c r="G92" s="13">
        <v>125</v>
      </c>
      <c r="H92" s="13">
        <v>298125</v>
      </c>
      <c r="I92" s="13">
        <v>14906.25</v>
      </c>
      <c r="J92" s="13">
        <v>286200</v>
      </c>
      <c r="K92" s="5">
        <v>41699</v>
      </c>
    </row>
    <row r="93" spans="1:11" x14ac:dyDescent="0.3">
      <c r="A93" s="7" t="s">
        <v>11</v>
      </c>
      <c r="B93" s="8" t="s">
        <v>12</v>
      </c>
      <c r="C93" s="8" t="s">
        <v>27</v>
      </c>
      <c r="D93" s="8" t="s">
        <v>14</v>
      </c>
      <c r="E93" s="11">
        <v>1186</v>
      </c>
      <c r="F93" s="13">
        <v>5</v>
      </c>
      <c r="G93" s="13">
        <v>300</v>
      </c>
      <c r="H93" s="13">
        <v>355800</v>
      </c>
      <c r="I93" s="13">
        <v>42696</v>
      </c>
      <c r="J93" s="13">
        <v>296500</v>
      </c>
      <c r="K93" s="5">
        <v>41609</v>
      </c>
    </row>
    <row r="94" spans="1:11" x14ac:dyDescent="0.3">
      <c r="A94" s="7" t="s">
        <v>11</v>
      </c>
      <c r="B94" s="8" t="s">
        <v>12</v>
      </c>
      <c r="C94" s="8" t="s">
        <v>17</v>
      </c>
      <c r="D94" s="8" t="s">
        <v>16</v>
      </c>
      <c r="E94" s="11">
        <v>1221</v>
      </c>
      <c r="F94" s="13">
        <v>120</v>
      </c>
      <c r="G94" s="13">
        <v>300</v>
      </c>
      <c r="H94" s="13">
        <v>366300</v>
      </c>
      <c r="I94" s="13">
        <v>21978</v>
      </c>
      <c r="J94" s="13">
        <v>305250</v>
      </c>
      <c r="K94" s="5">
        <v>41548</v>
      </c>
    </row>
    <row r="95" spans="1:11" x14ac:dyDescent="0.3">
      <c r="A95" s="7" t="s">
        <v>11</v>
      </c>
      <c r="B95" s="8" t="s">
        <v>12</v>
      </c>
      <c r="C95" s="8" t="s">
        <v>20</v>
      </c>
      <c r="D95" s="8" t="s">
        <v>16</v>
      </c>
      <c r="E95" s="11">
        <v>1221</v>
      </c>
      <c r="F95" s="13">
        <v>250</v>
      </c>
      <c r="G95" s="13">
        <v>300</v>
      </c>
      <c r="H95" s="13">
        <v>366300</v>
      </c>
      <c r="I95" s="13">
        <v>21978</v>
      </c>
      <c r="J95" s="13">
        <v>305250</v>
      </c>
      <c r="K95" s="5">
        <v>41548</v>
      </c>
    </row>
    <row r="96" spans="1:11" x14ac:dyDescent="0.3">
      <c r="A96" s="7" t="s">
        <v>28</v>
      </c>
      <c r="B96" s="8" t="s">
        <v>12</v>
      </c>
      <c r="C96" s="8" t="s">
        <v>18</v>
      </c>
      <c r="D96" s="8" t="s">
        <v>19</v>
      </c>
      <c r="E96" s="11">
        <v>2988</v>
      </c>
      <c r="F96" s="13">
        <v>10</v>
      </c>
      <c r="G96" s="13">
        <v>125</v>
      </c>
      <c r="H96" s="13">
        <v>373500</v>
      </c>
      <c r="I96" s="13">
        <v>14940</v>
      </c>
      <c r="J96" s="13">
        <v>358560</v>
      </c>
      <c r="K96" s="5">
        <v>41821</v>
      </c>
    </row>
    <row r="97" spans="1:11" x14ac:dyDescent="0.3">
      <c r="A97" s="7" t="s">
        <v>11</v>
      </c>
      <c r="B97" s="8" t="s">
        <v>12</v>
      </c>
      <c r="C97" s="8" t="s">
        <v>18</v>
      </c>
      <c r="D97" s="8" t="s">
        <v>16</v>
      </c>
      <c r="E97" s="11">
        <v>1324</v>
      </c>
      <c r="F97" s="13">
        <v>10</v>
      </c>
      <c r="G97" s="13">
        <v>300</v>
      </c>
      <c r="H97" s="13">
        <v>397200</v>
      </c>
      <c r="I97" s="13">
        <v>35748</v>
      </c>
      <c r="J97" s="13">
        <v>331000</v>
      </c>
      <c r="K97" s="5">
        <v>41944</v>
      </c>
    </row>
    <row r="98" spans="1:11" x14ac:dyDescent="0.3">
      <c r="A98" s="7" t="s">
        <v>15</v>
      </c>
      <c r="B98" s="8" t="s">
        <v>12</v>
      </c>
      <c r="C98" s="8" t="s">
        <v>20</v>
      </c>
      <c r="D98" s="8" t="s">
        <v>14</v>
      </c>
      <c r="E98" s="11">
        <v>1281</v>
      </c>
      <c r="F98" s="13">
        <v>250</v>
      </c>
      <c r="G98" s="13">
        <v>350</v>
      </c>
      <c r="H98" s="13">
        <v>448350</v>
      </c>
      <c r="I98" s="13">
        <v>62769</v>
      </c>
      <c r="J98" s="13">
        <v>333060</v>
      </c>
      <c r="K98" s="5">
        <v>41609</v>
      </c>
    </row>
    <row r="99" spans="1:11" x14ac:dyDescent="0.3">
      <c r="A99" s="7" t="s">
        <v>11</v>
      </c>
      <c r="B99" s="8" t="s">
        <v>12</v>
      </c>
      <c r="C99" s="8" t="s">
        <v>27</v>
      </c>
      <c r="D99" s="8" t="s">
        <v>16</v>
      </c>
      <c r="E99" s="11">
        <v>1562</v>
      </c>
      <c r="F99" s="13">
        <v>5</v>
      </c>
      <c r="G99" s="13">
        <v>300</v>
      </c>
      <c r="H99" s="13">
        <v>468600</v>
      </c>
      <c r="I99" s="13">
        <v>37488</v>
      </c>
      <c r="J99" s="13">
        <v>390500</v>
      </c>
      <c r="K99" s="5">
        <v>41852</v>
      </c>
    </row>
    <row r="100" spans="1:11" x14ac:dyDescent="0.3">
      <c r="A100" s="7" t="s">
        <v>15</v>
      </c>
      <c r="B100" s="8" t="s">
        <v>12</v>
      </c>
      <c r="C100" s="8" t="s">
        <v>27</v>
      </c>
      <c r="D100" s="8" t="s">
        <v>16</v>
      </c>
      <c r="E100" s="11">
        <v>1384.5</v>
      </c>
      <c r="F100" s="13">
        <v>5</v>
      </c>
      <c r="G100" s="13">
        <v>350</v>
      </c>
      <c r="H100" s="13">
        <v>484575</v>
      </c>
      <c r="I100" s="13">
        <v>24228.75</v>
      </c>
      <c r="J100" s="13">
        <v>359970</v>
      </c>
      <c r="K100" s="5">
        <v>41640</v>
      </c>
    </row>
    <row r="101" spans="1:11" x14ac:dyDescent="0.3">
      <c r="A101" s="7" t="s">
        <v>11</v>
      </c>
      <c r="B101" s="8" t="s">
        <v>12</v>
      </c>
      <c r="C101" s="8" t="s">
        <v>17</v>
      </c>
      <c r="D101" s="8" t="s">
        <v>16</v>
      </c>
      <c r="E101" s="11">
        <v>1659</v>
      </c>
      <c r="F101" s="13">
        <v>120</v>
      </c>
      <c r="G101" s="13">
        <v>300</v>
      </c>
      <c r="H101" s="13">
        <v>497700</v>
      </c>
      <c r="I101" s="13">
        <v>34839</v>
      </c>
      <c r="J101" s="13">
        <v>414750</v>
      </c>
      <c r="K101" s="5">
        <v>41821</v>
      </c>
    </row>
    <row r="102" spans="1:11" x14ac:dyDescent="0.3">
      <c r="A102" s="7" t="s">
        <v>15</v>
      </c>
      <c r="B102" s="8" t="s">
        <v>23</v>
      </c>
      <c r="C102" s="8" t="s">
        <v>27</v>
      </c>
      <c r="D102" s="8" t="s">
        <v>16</v>
      </c>
      <c r="E102" s="11">
        <v>1460</v>
      </c>
      <c r="F102" s="13">
        <v>5</v>
      </c>
      <c r="G102" s="13">
        <v>350</v>
      </c>
      <c r="H102" s="13">
        <v>511000</v>
      </c>
      <c r="I102" s="13">
        <v>30660</v>
      </c>
      <c r="J102" s="13">
        <v>379600</v>
      </c>
      <c r="K102" s="5">
        <v>41760</v>
      </c>
    </row>
    <row r="103" spans="1:11" x14ac:dyDescent="0.3">
      <c r="A103" s="7" t="s">
        <v>11</v>
      </c>
      <c r="B103" s="8" t="s">
        <v>23</v>
      </c>
      <c r="C103" s="8" t="s">
        <v>18</v>
      </c>
      <c r="D103" s="8" t="s">
        <v>19</v>
      </c>
      <c r="E103" s="11">
        <v>1728</v>
      </c>
      <c r="F103" s="13">
        <v>10</v>
      </c>
      <c r="G103" s="13">
        <v>300</v>
      </c>
      <c r="H103" s="13">
        <v>518400</v>
      </c>
      <c r="I103" s="13">
        <v>10368</v>
      </c>
      <c r="J103" s="13">
        <v>432000</v>
      </c>
      <c r="K103" s="5">
        <v>41760</v>
      </c>
    </row>
    <row r="104" spans="1:11" x14ac:dyDescent="0.3">
      <c r="A104" s="7" t="s">
        <v>28</v>
      </c>
      <c r="B104" s="8" t="s">
        <v>23</v>
      </c>
      <c r="C104" s="8" t="s">
        <v>13</v>
      </c>
      <c r="D104" s="8" t="s">
        <v>22</v>
      </c>
      <c r="E104" s="11">
        <v>4219.5</v>
      </c>
      <c r="F104" s="13">
        <v>260</v>
      </c>
      <c r="G104" s="13">
        <v>125</v>
      </c>
      <c r="H104" s="13">
        <v>527437.5</v>
      </c>
      <c r="I104" s="13">
        <v>0</v>
      </c>
      <c r="J104" s="13">
        <v>506340</v>
      </c>
      <c r="K104" s="5">
        <v>41730</v>
      </c>
    </row>
    <row r="105" spans="1:11" x14ac:dyDescent="0.3">
      <c r="A105" s="7" t="s">
        <v>15</v>
      </c>
      <c r="B105" s="8" t="s">
        <v>23</v>
      </c>
      <c r="C105" s="8" t="s">
        <v>21</v>
      </c>
      <c r="D105" s="8" t="s">
        <v>22</v>
      </c>
      <c r="E105" s="11">
        <v>1513</v>
      </c>
      <c r="F105" s="13">
        <v>3</v>
      </c>
      <c r="G105" s="13">
        <v>350</v>
      </c>
      <c r="H105" s="13">
        <v>529550</v>
      </c>
      <c r="I105" s="13">
        <v>0</v>
      </c>
      <c r="J105" s="13">
        <v>393380</v>
      </c>
      <c r="K105" s="5">
        <v>41974</v>
      </c>
    </row>
    <row r="106" spans="1:11" x14ac:dyDescent="0.3">
      <c r="A106" s="7" t="s">
        <v>15</v>
      </c>
      <c r="B106" s="8" t="s">
        <v>23</v>
      </c>
      <c r="C106" s="8" t="s">
        <v>18</v>
      </c>
      <c r="D106" s="8" t="s">
        <v>22</v>
      </c>
      <c r="E106" s="11">
        <v>1513</v>
      </c>
      <c r="F106" s="13">
        <v>10</v>
      </c>
      <c r="G106" s="13">
        <v>350</v>
      </c>
      <c r="H106" s="13">
        <v>529550</v>
      </c>
      <c r="I106" s="13">
        <v>0</v>
      </c>
      <c r="J106" s="13">
        <v>393380</v>
      </c>
      <c r="K106" s="5">
        <v>41974</v>
      </c>
    </row>
    <row r="107" spans="1:11" x14ac:dyDescent="0.3">
      <c r="A107" s="7" t="s">
        <v>11</v>
      </c>
      <c r="B107" s="8" t="s">
        <v>23</v>
      </c>
      <c r="C107" s="8" t="s">
        <v>27</v>
      </c>
      <c r="D107" s="8" t="s">
        <v>19</v>
      </c>
      <c r="E107" s="11">
        <v>1859</v>
      </c>
      <c r="F107" s="13">
        <v>5</v>
      </c>
      <c r="G107" s="13">
        <v>300</v>
      </c>
      <c r="H107" s="13">
        <v>557700</v>
      </c>
      <c r="I107" s="13">
        <v>22308</v>
      </c>
      <c r="J107" s="13">
        <v>464750</v>
      </c>
      <c r="K107" s="5">
        <v>41852</v>
      </c>
    </row>
    <row r="108" spans="1:11" x14ac:dyDescent="0.3">
      <c r="A108" s="7" t="s">
        <v>28</v>
      </c>
      <c r="B108" s="8" t="s">
        <v>23</v>
      </c>
      <c r="C108" s="8" t="s">
        <v>18</v>
      </c>
      <c r="D108" s="8" t="s">
        <v>19</v>
      </c>
      <c r="E108" s="11">
        <v>1570</v>
      </c>
      <c r="F108" s="13">
        <v>10</v>
      </c>
      <c r="G108" s="13">
        <v>125</v>
      </c>
      <c r="H108" s="13">
        <v>196250</v>
      </c>
      <c r="I108" s="13">
        <v>5887.5</v>
      </c>
      <c r="J108" s="13">
        <v>188400</v>
      </c>
      <c r="K108" s="5">
        <v>41791</v>
      </c>
    </row>
    <row r="109" spans="1:11" x14ac:dyDescent="0.3">
      <c r="A109" s="7" t="s">
        <v>28</v>
      </c>
      <c r="B109" s="8" t="s">
        <v>23</v>
      </c>
      <c r="C109" s="8" t="s">
        <v>20</v>
      </c>
      <c r="D109" s="8" t="s">
        <v>19</v>
      </c>
      <c r="E109" s="11">
        <v>1570</v>
      </c>
      <c r="F109" s="13">
        <v>250</v>
      </c>
      <c r="G109" s="13">
        <v>125</v>
      </c>
      <c r="H109" s="13">
        <v>196250</v>
      </c>
      <c r="I109" s="13">
        <v>5887.5</v>
      </c>
      <c r="J109" s="13">
        <v>188400</v>
      </c>
      <c r="K109" s="5">
        <v>41791</v>
      </c>
    </row>
    <row r="110" spans="1:11" x14ac:dyDescent="0.3">
      <c r="A110" s="7" t="s">
        <v>11</v>
      </c>
      <c r="B110" s="8" t="s">
        <v>23</v>
      </c>
      <c r="C110" s="8" t="s">
        <v>21</v>
      </c>
      <c r="D110" s="8" t="s">
        <v>19</v>
      </c>
      <c r="E110" s="11">
        <v>689</v>
      </c>
      <c r="F110" s="13">
        <v>3</v>
      </c>
      <c r="G110" s="13">
        <v>300</v>
      </c>
      <c r="H110" s="13">
        <v>206700</v>
      </c>
      <c r="I110" s="13">
        <v>6201</v>
      </c>
      <c r="J110" s="13">
        <v>172250</v>
      </c>
      <c r="K110" s="5">
        <v>41791</v>
      </c>
    </row>
    <row r="111" spans="1:11" x14ac:dyDescent="0.3">
      <c r="A111" s="7" t="s">
        <v>11</v>
      </c>
      <c r="B111" s="8" t="s">
        <v>23</v>
      </c>
      <c r="C111" s="8" t="s">
        <v>18</v>
      </c>
      <c r="D111" s="8" t="s">
        <v>19</v>
      </c>
      <c r="E111" s="11">
        <v>689</v>
      </c>
      <c r="F111" s="13">
        <v>10</v>
      </c>
      <c r="G111" s="13">
        <v>300</v>
      </c>
      <c r="H111" s="13">
        <v>206700</v>
      </c>
      <c r="I111" s="13">
        <v>6201</v>
      </c>
      <c r="J111" s="13">
        <v>172250</v>
      </c>
      <c r="K111" s="5">
        <v>41791</v>
      </c>
    </row>
    <row r="112" spans="1:11" x14ac:dyDescent="0.3">
      <c r="A112" s="7" t="s">
        <v>28</v>
      </c>
      <c r="B112" s="8" t="s">
        <v>23</v>
      </c>
      <c r="C112" s="8" t="s">
        <v>27</v>
      </c>
      <c r="D112" s="8" t="s">
        <v>19</v>
      </c>
      <c r="E112" s="11">
        <v>1706</v>
      </c>
      <c r="F112" s="13">
        <v>5</v>
      </c>
      <c r="G112" s="13">
        <v>125</v>
      </c>
      <c r="H112" s="13">
        <v>213250</v>
      </c>
      <c r="I112" s="13">
        <v>6397.5</v>
      </c>
      <c r="J112" s="13">
        <v>204720</v>
      </c>
      <c r="K112" s="5">
        <v>41974</v>
      </c>
    </row>
    <row r="113" spans="1:11" x14ac:dyDescent="0.3">
      <c r="A113" s="7" t="s">
        <v>28</v>
      </c>
      <c r="B113" s="8" t="s">
        <v>23</v>
      </c>
      <c r="C113" s="8" t="s">
        <v>18</v>
      </c>
      <c r="D113" s="8" t="s">
        <v>19</v>
      </c>
      <c r="E113" s="11">
        <v>1706</v>
      </c>
      <c r="F113" s="13">
        <v>10</v>
      </c>
      <c r="G113" s="13">
        <v>125</v>
      </c>
      <c r="H113" s="13">
        <v>213250</v>
      </c>
      <c r="I113" s="13">
        <v>6397.5</v>
      </c>
      <c r="J113" s="13">
        <v>204720</v>
      </c>
      <c r="K113" s="5">
        <v>41974</v>
      </c>
    </row>
    <row r="114" spans="1:11" x14ac:dyDescent="0.3">
      <c r="A114" s="7" t="s">
        <v>11</v>
      </c>
      <c r="B114" s="8" t="s">
        <v>23</v>
      </c>
      <c r="C114" s="8" t="s">
        <v>18</v>
      </c>
      <c r="D114" s="8" t="s">
        <v>14</v>
      </c>
      <c r="E114" s="11">
        <v>807</v>
      </c>
      <c r="F114" s="13">
        <v>10</v>
      </c>
      <c r="G114" s="13">
        <v>300</v>
      </c>
      <c r="H114" s="13">
        <v>242100</v>
      </c>
      <c r="I114" s="13">
        <v>31473</v>
      </c>
      <c r="J114" s="13">
        <v>201750</v>
      </c>
      <c r="K114" s="5">
        <v>41640</v>
      </c>
    </row>
    <row r="115" spans="1:11" x14ac:dyDescent="0.3">
      <c r="A115" s="7" t="s">
        <v>15</v>
      </c>
      <c r="B115" s="8" t="s">
        <v>23</v>
      </c>
      <c r="C115" s="8" t="s">
        <v>27</v>
      </c>
      <c r="D115" s="8" t="s">
        <v>14</v>
      </c>
      <c r="E115" s="11">
        <v>766</v>
      </c>
      <c r="F115" s="13">
        <v>5</v>
      </c>
      <c r="G115" s="13">
        <v>350</v>
      </c>
      <c r="H115" s="13">
        <v>268100</v>
      </c>
      <c r="I115" s="13">
        <v>29491</v>
      </c>
      <c r="J115" s="13">
        <v>199160</v>
      </c>
      <c r="K115" s="5">
        <v>41640</v>
      </c>
    </row>
    <row r="116" spans="1:11" x14ac:dyDescent="0.3">
      <c r="A116" s="7" t="s">
        <v>28</v>
      </c>
      <c r="B116" s="8" t="s">
        <v>23</v>
      </c>
      <c r="C116" s="8" t="s">
        <v>17</v>
      </c>
      <c r="D116" s="8" t="s">
        <v>16</v>
      </c>
      <c r="E116" s="11">
        <v>2087</v>
      </c>
      <c r="F116" s="13">
        <v>120</v>
      </c>
      <c r="G116" s="13">
        <v>125</v>
      </c>
      <c r="H116" s="13">
        <v>260875</v>
      </c>
      <c r="I116" s="13">
        <v>18261.25</v>
      </c>
      <c r="J116" s="13">
        <v>250440</v>
      </c>
      <c r="K116" s="5">
        <v>41883</v>
      </c>
    </row>
    <row r="117" spans="1:11" x14ac:dyDescent="0.3">
      <c r="A117" s="7" t="s">
        <v>15</v>
      </c>
      <c r="B117" s="8" t="s">
        <v>23</v>
      </c>
      <c r="C117" s="8" t="s">
        <v>21</v>
      </c>
      <c r="D117" s="8" t="s">
        <v>14</v>
      </c>
      <c r="E117" s="11">
        <v>792</v>
      </c>
      <c r="F117" s="13">
        <v>3</v>
      </c>
      <c r="G117" s="13">
        <v>350</v>
      </c>
      <c r="H117" s="13">
        <v>277200</v>
      </c>
      <c r="I117" s="13">
        <v>30492</v>
      </c>
      <c r="J117" s="13">
        <v>205920</v>
      </c>
      <c r="K117" s="5">
        <v>41699</v>
      </c>
    </row>
    <row r="118" spans="1:11" x14ac:dyDescent="0.3">
      <c r="A118" s="7" t="s">
        <v>28</v>
      </c>
      <c r="B118" s="8" t="s">
        <v>23</v>
      </c>
      <c r="C118" s="8" t="s">
        <v>13</v>
      </c>
      <c r="D118" s="8" t="s">
        <v>19</v>
      </c>
      <c r="E118" s="11">
        <v>2276</v>
      </c>
      <c r="F118" s="13">
        <v>260</v>
      </c>
      <c r="G118" s="13">
        <v>125</v>
      </c>
      <c r="H118" s="13">
        <v>284500</v>
      </c>
      <c r="I118" s="13">
        <v>5690</v>
      </c>
      <c r="J118" s="13">
        <v>273120</v>
      </c>
      <c r="K118" s="5">
        <v>41760</v>
      </c>
    </row>
    <row r="119" spans="1:11" x14ac:dyDescent="0.3">
      <c r="A119" s="7" t="s">
        <v>28</v>
      </c>
      <c r="B119" s="8" t="s">
        <v>23</v>
      </c>
      <c r="C119" s="8" t="s">
        <v>27</v>
      </c>
      <c r="D119" s="8" t="s">
        <v>16</v>
      </c>
      <c r="E119" s="11">
        <v>2500</v>
      </c>
      <c r="F119" s="13">
        <v>5</v>
      </c>
      <c r="G119" s="13">
        <v>125</v>
      </c>
      <c r="H119" s="13">
        <v>312500</v>
      </c>
      <c r="I119" s="13">
        <v>21875</v>
      </c>
      <c r="J119" s="13">
        <v>300000</v>
      </c>
      <c r="K119" s="5">
        <v>41579</v>
      </c>
    </row>
    <row r="120" spans="1:11" x14ac:dyDescent="0.3">
      <c r="A120" s="7" t="s">
        <v>11</v>
      </c>
      <c r="B120" s="8" t="s">
        <v>23</v>
      </c>
      <c r="C120" s="8" t="s">
        <v>20</v>
      </c>
      <c r="D120" s="8" t="s">
        <v>19</v>
      </c>
      <c r="E120" s="11">
        <v>986</v>
      </c>
      <c r="F120" s="13">
        <v>250</v>
      </c>
      <c r="G120" s="13">
        <v>300</v>
      </c>
      <c r="H120" s="13">
        <v>295800</v>
      </c>
      <c r="I120" s="13">
        <v>2958</v>
      </c>
      <c r="J120" s="13">
        <v>246500</v>
      </c>
      <c r="K120" s="5">
        <v>41883</v>
      </c>
    </row>
    <row r="121" spans="1:11" x14ac:dyDescent="0.3">
      <c r="A121" s="7" t="s">
        <v>28</v>
      </c>
      <c r="B121" s="8" t="s">
        <v>23</v>
      </c>
      <c r="C121" s="8" t="s">
        <v>21</v>
      </c>
      <c r="D121" s="8" t="s">
        <v>14</v>
      </c>
      <c r="E121" s="11">
        <v>2767</v>
      </c>
      <c r="F121" s="13">
        <v>3</v>
      </c>
      <c r="G121" s="13">
        <v>125</v>
      </c>
      <c r="H121" s="13">
        <v>345875</v>
      </c>
      <c r="I121" s="13">
        <v>51881.25</v>
      </c>
      <c r="J121" s="13">
        <v>332040</v>
      </c>
      <c r="K121" s="5">
        <v>41852</v>
      </c>
    </row>
    <row r="122" spans="1:11" x14ac:dyDescent="0.3">
      <c r="A122" s="7" t="s">
        <v>11</v>
      </c>
      <c r="B122" s="8" t="s">
        <v>23</v>
      </c>
      <c r="C122" s="8" t="s">
        <v>18</v>
      </c>
      <c r="D122" s="8" t="s">
        <v>16</v>
      </c>
      <c r="E122" s="11">
        <v>1123</v>
      </c>
      <c r="F122" s="13">
        <v>10</v>
      </c>
      <c r="G122" s="13">
        <v>300</v>
      </c>
      <c r="H122" s="13">
        <v>336900</v>
      </c>
      <c r="I122" s="13">
        <v>23583</v>
      </c>
      <c r="J122" s="13">
        <v>280750</v>
      </c>
      <c r="K122" s="5">
        <v>41518</v>
      </c>
    </row>
    <row r="123" spans="1:11" x14ac:dyDescent="0.3">
      <c r="A123" s="7" t="s">
        <v>15</v>
      </c>
      <c r="B123" s="8" t="s">
        <v>23</v>
      </c>
      <c r="C123" s="8" t="s">
        <v>18</v>
      </c>
      <c r="D123" s="8" t="s">
        <v>22</v>
      </c>
      <c r="E123" s="11">
        <v>1006</v>
      </c>
      <c r="F123" s="13">
        <v>10</v>
      </c>
      <c r="G123" s="13">
        <v>350</v>
      </c>
      <c r="H123" s="13">
        <v>352100</v>
      </c>
      <c r="I123" s="13">
        <v>0</v>
      </c>
      <c r="J123" s="13">
        <v>261560</v>
      </c>
      <c r="K123" s="5">
        <v>41791</v>
      </c>
    </row>
    <row r="124" spans="1:11" x14ac:dyDescent="0.3">
      <c r="A124" s="7" t="s">
        <v>15</v>
      </c>
      <c r="B124" s="8" t="s">
        <v>23</v>
      </c>
      <c r="C124" s="8" t="s">
        <v>17</v>
      </c>
      <c r="D124" s="8" t="s">
        <v>22</v>
      </c>
      <c r="E124" s="11">
        <v>1006</v>
      </c>
      <c r="F124" s="13">
        <v>120</v>
      </c>
      <c r="G124" s="13">
        <v>350</v>
      </c>
      <c r="H124" s="13">
        <v>352100</v>
      </c>
      <c r="I124" s="13">
        <v>0</v>
      </c>
      <c r="J124" s="13">
        <v>261560</v>
      </c>
      <c r="K124" s="5">
        <v>41791</v>
      </c>
    </row>
    <row r="125" spans="1:11" x14ac:dyDescent="0.3">
      <c r="A125" s="7" t="s">
        <v>28</v>
      </c>
      <c r="B125" s="8" t="s">
        <v>23</v>
      </c>
      <c r="C125" s="8" t="s">
        <v>13</v>
      </c>
      <c r="D125" s="8" t="s">
        <v>14</v>
      </c>
      <c r="E125" s="11">
        <v>3165</v>
      </c>
      <c r="F125" s="13">
        <v>260</v>
      </c>
      <c r="G125" s="13">
        <v>125</v>
      </c>
      <c r="H125" s="13">
        <v>395625</v>
      </c>
      <c r="I125" s="13">
        <v>43518.75</v>
      </c>
      <c r="J125" s="13">
        <v>379800</v>
      </c>
      <c r="K125" s="5">
        <v>41640</v>
      </c>
    </row>
    <row r="126" spans="1:11" x14ac:dyDescent="0.3">
      <c r="A126" s="7" t="s">
        <v>11</v>
      </c>
      <c r="B126" s="8" t="s">
        <v>23</v>
      </c>
      <c r="C126" s="8" t="s">
        <v>13</v>
      </c>
      <c r="D126" s="8" t="s">
        <v>16</v>
      </c>
      <c r="E126" s="11">
        <v>1250</v>
      </c>
      <c r="F126" s="13">
        <v>260</v>
      </c>
      <c r="G126" s="13">
        <v>300</v>
      </c>
      <c r="H126" s="13">
        <v>375000</v>
      </c>
      <c r="I126" s="13">
        <v>18750</v>
      </c>
      <c r="J126" s="13">
        <v>312500</v>
      </c>
      <c r="K126" s="5">
        <v>41974</v>
      </c>
    </row>
    <row r="127" spans="1:11" x14ac:dyDescent="0.3">
      <c r="A127" s="7" t="s">
        <v>11</v>
      </c>
      <c r="B127" s="8" t="s">
        <v>23</v>
      </c>
      <c r="C127" s="8" t="s">
        <v>17</v>
      </c>
      <c r="D127" s="8" t="s">
        <v>16</v>
      </c>
      <c r="E127" s="11">
        <v>1250</v>
      </c>
      <c r="F127" s="13">
        <v>120</v>
      </c>
      <c r="G127" s="13">
        <v>300</v>
      </c>
      <c r="H127" s="13">
        <v>375000</v>
      </c>
      <c r="I127" s="13">
        <v>18750</v>
      </c>
      <c r="J127" s="13">
        <v>312500</v>
      </c>
      <c r="K127" s="5">
        <v>41974</v>
      </c>
    </row>
    <row r="128" spans="1:11" x14ac:dyDescent="0.3">
      <c r="A128" s="7" t="s">
        <v>11</v>
      </c>
      <c r="B128" s="8" t="s">
        <v>23</v>
      </c>
      <c r="C128" s="8" t="s">
        <v>18</v>
      </c>
      <c r="D128" s="8" t="s">
        <v>14</v>
      </c>
      <c r="E128" s="11">
        <v>1359</v>
      </c>
      <c r="F128" s="13">
        <v>10</v>
      </c>
      <c r="G128" s="13">
        <v>300</v>
      </c>
      <c r="H128" s="13">
        <v>407700</v>
      </c>
      <c r="I128" s="13">
        <v>48924</v>
      </c>
      <c r="J128" s="13">
        <v>339750</v>
      </c>
      <c r="K128" s="5">
        <v>41944</v>
      </c>
    </row>
    <row r="129" spans="1:11" x14ac:dyDescent="0.3">
      <c r="A129" s="7" t="s">
        <v>15</v>
      </c>
      <c r="B129" s="8" t="s">
        <v>23</v>
      </c>
      <c r="C129" s="8" t="s">
        <v>27</v>
      </c>
      <c r="D129" s="8" t="s">
        <v>14</v>
      </c>
      <c r="E129" s="11">
        <v>1199</v>
      </c>
      <c r="F129" s="13">
        <v>5</v>
      </c>
      <c r="G129" s="13">
        <v>350</v>
      </c>
      <c r="H129" s="13">
        <v>419650</v>
      </c>
      <c r="I129" s="13">
        <v>58751</v>
      </c>
      <c r="J129" s="13">
        <v>311740</v>
      </c>
      <c r="K129" s="5">
        <v>41730</v>
      </c>
    </row>
    <row r="130" spans="1:11" x14ac:dyDescent="0.3">
      <c r="A130" s="7" t="s">
        <v>11</v>
      </c>
      <c r="B130" s="8" t="s">
        <v>23</v>
      </c>
      <c r="C130" s="8" t="s">
        <v>18</v>
      </c>
      <c r="D130" s="8" t="s">
        <v>19</v>
      </c>
      <c r="E130" s="11">
        <v>1414.5</v>
      </c>
      <c r="F130" s="13">
        <v>10</v>
      </c>
      <c r="G130" s="13">
        <v>300</v>
      </c>
      <c r="H130" s="13">
        <v>424350</v>
      </c>
      <c r="I130" s="13">
        <v>16974</v>
      </c>
      <c r="J130" s="13">
        <v>353625</v>
      </c>
      <c r="K130" s="5">
        <v>41730</v>
      </c>
    </row>
    <row r="131" spans="1:11" x14ac:dyDescent="0.3">
      <c r="A131" s="7" t="s">
        <v>28</v>
      </c>
      <c r="B131" s="8" t="s">
        <v>23</v>
      </c>
      <c r="C131" s="8" t="s">
        <v>18</v>
      </c>
      <c r="D131" s="8" t="s">
        <v>16</v>
      </c>
      <c r="E131" s="11">
        <v>3513</v>
      </c>
      <c r="F131" s="13">
        <v>10</v>
      </c>
      <c r="G131" s="13">
        <v>125</v>
      </c>
      <c r="H131" s="13">
        <v>439125</v>
      </c>
      <c r="I131" s="13">
        <v>30738.75</v>
      </c>
      <c r="J131" s="13">
        <v>421560</v>
      </c>
      <c r="K131" s="5">
        <v>41821</v>
      </c>
    </row>
    <row r="132" spans="1:11" x14ac:dyDescent="0.3">
      <c r="A132" s="7" t="s">
        <v>15</v>
      </c>
      <c r="B132" s="8" t="s">
        <v>23</v>
      </c>
      <c r="C132" s="8" t="s">
        <v>17</v>
      </c>
      <c r="D132" s="8" t="s">
        <v>16</v>
      </c>
      <c r="E132" s="11">
        <v>1307</v>
      </c>
      <c r="F132" s="13">
        <v>120</v>
      </c>
      <c r="G132" s="13">
        <v>350</v>
      </c>
      <c r="H132" s="13">
        <v>457450</v>
      </c>
      <c r="I132" s="13">
        <v>41170.5</v>
      </c>
      <c r="J132" s="13">
        <v>339820</v>
      </c>
      <c r="K132" s="5">
        <v>41821</v>
      </c>
    </row>
    <row r="133" spans="1:11" x14ac:dyDescent="0.3">
      <c r="A133" s="7" t="s">
        <v>15</v>
      </c>
      <c r="B133" s="8" t="s">
        <v>23</v>
      </c>
      <c r="C133" s="8" t="s">
        <v>13</v>
      </c>
      <c r="D133" s="8" t="s">
        <v>16</v>
      </c>
      <c r="E133" s="11">
        <v>1350</v>
      </c>
      <c r="F133" s="13">
        <v>260</v>
      </c>
      <c r="G133" s="13">
        <v>350</v>
      </c>
      <c r="H133" s="13">
        <v>472500</v>
      </c>
      <c r="I133" s="13">
        <v>23625</v>
      </c>
      <c r="J133" s="13">
        <v>351000</v>
      </c>
      <c r="K133" s="5">
        <v>41671</v>
      </c>
    </row>
    <row r="134" spans="1:11" x14ac:dyDescent="0.3">
      <c r="A134" s="7" t="s">
        <v>11</v>
      </c>
      <c r="B134" s="8" t="s">
        <v>26</v>
      </c>
      <c r="C134" s="8" t="s">
        <v>18</v>
      </c>
      <c r="D134" s="8" t="s">
        <v>16</v>
      </c>
      <c r="E134" s="11">
        <v>1702</v>
      </c>
      <c r="F134" s="13">
        <v>10</v>
      </c>
      <c r="G134" s="13">
        <v>300</v>
      </c>
      <c r="H134" s="13">
        <v>510600</v>
      </c>
      <c r="I134" s="13">
        <v>35742</v>
      </c>
      <c r="J134" s="13">
        <v>425500</v>
      </c>
      <c r="K134" s="5">
        <v>41760</v>
      </c>
    </row>
    <row r="135" spans="1:11" x14ac:dyDescent="0.3">
      <c r="A135" s="7" t="s">
        <v>11</v>
      </c>
      <c r="B135" s="8" t="s">
        <v>24</v>
      </c>
      <c r="C135" s="8" t="s">
        <v>20</v>
      </c>
      <c r="D135" s="8" t="s">
        <v>16</v>
      </c>
      <c r="E135" s="11">
        <v>1867</v>
      </c>
      <c r="F135" s="13">
        <v>250</v>
      </c>
      <c r="G135" s="13">
        <v>300</v>
      </c>
      <c r="H135" s="13">
        <v>560100</v>
      </c>
      <c r="I135" s="13">
        <v>50409</v>
      </c>
      <c r="J135" s="13">
        <v>466750</v>
      </c>
      <c r="K135" s="5">
        <v>41883</v>
      </c>
    </row>
    <row r="136" spans="1:11" x14ac:dyDescent="0.3">
      <c r="A136" s="7" t="s">
        <v>11</v>
      </c>
      <c r="B136" s="8" t="s">
        <v>26</v>
      </c>
      <c r="C136" s="8" t="s">
        <v>20</v>
      </c>
      <c r="D136" s="8" t="s">
        <v>19</v>
      </c>
      <c r="E136" s="11">
        <v>1874</v>
      </c>
      <c r="F136" s="13">
        <v>250</v>
      </c>
      <c r="G136" s="13">
        <v>300</v>
      </c>
      <c r="H136" s="13">
        <v>562200</v>
      </c>
      <c r="I136" s="13">
        <v>16866</v>
      </c>
      <c r="J136" s="13">
        <v>468500</v>
      </c>
      <c r="K136" s="5">
        <v>41852</v>
      </c>
    </row>
    <row r="137" spans="1:11" x14ac:dyDescent="0.3">
      <c r="A137" s="7" t="s">
        <v>15</v>
      </c>
      <c r="B137" s="8" t="s">
        <v>25</v>
      </c>
      <c r="C137" s="8" t="s">
        <v>13</v>
      </c>
      <c r="D137" s="8" t="s">
        <v>16</v>
      </c>
      <c r="E137" s="11">
        <v>1679</v>
      </c>
      <c r="F137" s="13">
        <v>260</v>
      </c>
      <c r="G137" s="13">
        <v>350</v>
      </c>
      <c r="H137" s="13">
        <v>587650</v>
      </c>
      <c r="I137" s="13">
        <v>35259</v>
      </c>
      <c r="J137" s="13">
        <v>436540</v>
      </c>
      <c r="K137" s="5">
        <v>41883</v>
      </c>
    </row>
    <row r="138" spans="1:11" x14ac:dyDescent="0.3">
      <c r="A138" s="7" t="s">
        <v>15</v>
      </c>
      <c r="B138" s="8" t="s">
        <v>25</v>
      </c>
      <c r="C138" s="8" t="s">
        <v>20</v>
      </c>
      <c r="D138" s="8" t="s">
        <v>19</v>
      </c>
      <c r="E138" s="11">
        <v>1642</v>
      </c>
      <c r="F138" s="13">
        <v>250</v>
      </c>
      <c r="G138" s="13">
        <v>350</v>
      </c>
      <c r="H138" s="13">
        <v>574700</v>
      </c>
      <c r="I138" s="13">
        <v>17241</v>
      </c>
      <c r="J138" s="13">
        <v>426920</v>
      </c>
      <c r="K138" s="5">
        <v>41852</v>
      </c>
    </row>
    <row r="139" spans="1:11" x14ac:dyDescent="0.3">
      <c r="A139" s="7" t="s">
        <v>11</v>
      </c>
      <c r="B139" s="8" t="s">
        <v>26</v>
      </c>
      <c r="C139" s="8" t="s">
        <v>13</v>
      </c>
      <c r="D139" s="8" t="s">
        <v>19</v>
      </c>
      <c r="E139" s="11">
        <v>1916</v>
      </c>
      <c r="F139" s="13">
        <v>260</v>
      </c>
      <c r="G139" s="13">
        <v>300</v>
      </c>
      <c r="H139" s="13">
        <v>574800</v>
      </c>
      <c r="I139" s="13">
        <v>11496</v>
      </c>
      <c r="J139" s="13">
        <v>479000</v>
      </c>
      <c r="K139" s="5">
        <v>41974</v>
      </c>
    </row>
    <row r="140" spans="1:11" x14ac:dyDescent="0.3">
      <c r="A140" s="7" t="s">
        <v>11</v>
      </c>
      <c r="B140" s="8" t="s">
        <v>26</v>
      </c>
      <c r="C140" s="8" t="s">
        <v>18</v>
      </c>
      <c r="D140" s="8" t="s">
        <v>19</v>
      </c>
      <c r="E140" s="11">
        <v>1916</v>
      </c>
      <c r="F140" s="13">
        <v>10</v>
      </c>
      <c r="G140" s="13">
        <v>300</v>
      </c>
      <c r="H140" s="13">
        <v>574800</v>
      </c>
      <c r="I140" s="13">
        <v>11496</v>
      </c>
      <c r="J140" s="13">
        <v>479000</v>
      </c>
      <c r="K140" s="5">
        <v>41974</v>
      </c>
    </row>
    <row r="141" spans="1:11" x14ac:dyDescent="0.3">
      <c r="A141" s="7" t="s">
        <v>11</v>
      </c>
      <c r="B141" s="8" t="s">
        <v>26</v>
      </c>
      <c r="C141" s="8" t="s">
        <v>20</v>
      </c>
      <c r="D141" s="8" t="s">
        <v>22</v>
      </c>
      <c r="E141" s="11">
        <v>2001</v>
      </c>
      <c r="F141" s="13">
        <v>250</v>
      </c>
      <c r="G141" s="13">
        <v>300</v>
      </c>
      <c r="H141" s="13">
        <v>600300</v>
      </c>
      <c r="I141" s="13">
        <v>0</v>
      </c>
      <c r="J141" s="13">
        <v>500250</v>
      </c>
      <c r="K141" s="5">
        <v>41671</v>
      </c>
    </row>
    <row r="142" spans="1:11" x14ac:dyDescent="0.3">
      <c r="A142" s="7" t="s">
        <v>28</v>
      </c>
      <c r="B142" s="8" t="s">
        <v>25</v>
      </c>
      <c r="C142" s="8" t="s">
        <v>17</v>
      </c>
      <c r="D142" s="8" t="s">
        <v>14</v>
      </c>
      <c r="E142" s="11">
        <v>1575</v>
      </c>
      <c r="F142" s="13">
        <v>120</v>
      </c>
      <c r="G142" s="13">
        <v>125</v>
      </c>
      <c r="H142" s="13">
        <v>196875</v>
      </c>
      <c r="I142" s="13">
        <v>27562.5</v>
      </c>
      <c r="J142" s="13">
        <v>189000</v>
      </c>
      <c r="K142" s="5">
        <v>41671</v>
      </c>
    </row>
    <row r="143" spans="1:11" x14ac:dyDescent="0.3">
      <c r="A143" s="7" t="s">
        <v>28</v>
      </c>
      <c r="B143" s="8" t="s">
        <v>26</v>
      </c>
      <c r="C143" s="8" t="s">
        <v>18</v>
      </c>
      <c r="D143" s="8" t="s">
        <v>14</v>
      </c>
      <c r="E143" s="11">
        <v>1583</v>
      </c>
      <c r="F143" s="13">
        <v>10</v>
      </c>
      <c r="G143" s="13">
        <v>125</v>
      </c>
      <c r="H143" s="13">
        <v>197875</v>
      </c>
      <c r="I143" s="13">
        <v>25723.75</v>
      </c>
      <c r="J143" s="13">
        <v>189960</v>
      </c>
      <c r="K143" s="5">
        <v>41791</v>
      </c>
    </row>
    <row r="144" spans="1:11" x14ac:dyDescent="0.3">
      <c r="A144" s="7" t="s">
        <v>28</v>
      </c>
      <c r="B144" s="8" t="s">
        <v>26</v>
      </c>
      <c r="C144" s="8" t="s">
        <v>20</v>
      </c>
      <c r="D144" s="8" t="s">
        <v>14</v>
      </c>
      <c r="E144" s="11">
        <v>1583</v>
      </c>
      <c r="F144" s="13">
        <v>250</v>
      </c>
      <c r="G144" s="13">
        <v>125</v>
      </c>
      <c r="H144" s="13">
        <v>197875</v>
      </c>
      <c r="I144" s="13">
        <v>25723.75</v>
      </c>
      <c r="J144" s="13">
        <v>189960</v>
      </c>
      <c r="K144" s="5">
        <v>41791</v>
      </c>
    </row>
    <row r="145" spans="1:11" x14ac:dyDescent="0.3">
      <c r="A145" s="7" t="s">
        <v>11</v>
      </c>
      <c r="B145" s="8" t="s">
        <v>25</v>
      </c>
      <c r="C145" s="8" t="s">
        <v>13</v>
      </c>
      <c r="D145" s="8" t="s">
        <v>16</v>
      </c>
      <c r="E145" s="11">
        <v>635</v>
      </c>
      <c r="F145" s="13">
        <v>260</v>
      </c>
      <c r="G145" s="13">
        <v>300</v>
      </c>
      <c r="H145" s="13">
        <v>190500</v>
      </c>
      <c r="I145" s="13">
        <v>15240</v>
      </c>
      <c r="J145" s="13">
        <v>158750</v>
      </c>
      <c r="K145" s="5">
        <v>41974</v>
      </c>
    </row>
    <row r="146" spans="1:11" x14ac:dyDescent="0.3">
      <c r="A146" s="7" t="s">
        <v>11</v>
      </c>
      <c r="B146" s="8" t="s">
        <v>25</v>
      </c>
      <c r="C146" s="8" t="s">
        <v>17</v>
      </c>
      <c r="D146" s="8" t="s">
        <v>16</v>
      </c>
      <c r="E146" s="11">
        <v>635</v>
      </c>
      <c r="F146" s="13">
        <v>120</v>
      </c>
      <c r="G146" s="13">
        <v>300</v>
      </c>
      <c r="H146" s="13">
        <v>190500</v>
      </c>
      <c r="I146" s="13">
        <v>15240</v>
      </c>
      <c r="J146" s="13">
        <v>158750</v>
      </c>
      <c r="K146" s="5">
        <v>41974</v>
      </c>
    </row>
    <row r="147" spans="1:11" x14ac:dyDescent="0.3">
      <c r="A147" s="7" t="s">
        <v>28</v>
      </c>
      <c r="B147" s="8" t="s">
        <v>25</v>
      </c>
      <c r="C147" s="8" t="s">
        <v>21</v>
      </c>
      <c r="D147" s="8" t="s">
        <v>16</v>
      </c>
      <c r="E147" s="11">
        <v>1540</v>
      </c>
      <c r="F147" s="13">
        <v>3</v>
      </c>
      <c r="G147" s="13">
        <v>125</v>
      </c>
      <c r="H147" s="13">
        <v>192500</v>
      </c>
      <c r="I147" s="13">
        <v>15400</v>
      </c>
      <c r="J147" s="13">
        <v>184800</v>
      </c>
      <c r="K147" s="5">
        <v>41852</v>
      </c>
    </row>
    <row r="148" spans="1:11" x14ac:dyDescent="0.3">
      <c r="A148" s="7" t="s">
        <v>28</v>
      </c>
      <c r="B148" s="8" t="s">
        <v>24</v>
      </c>
      <c r="C148" s="8" t="s">
        <v>17</v>
      </c>
      <c r="D148" s="8" t="s">
        <v>14</v>
      </c>
      <c r="E148" s="11">
        <v>1596</v>
      </c>
      <c r="F148" s="13">
        <v>120</v>
      </c>
      <c r="G148" s="13">
        <v>125</v>
      </c>
      <c r="H148" s="13">
        <v>199500</v>
      </c>
      <c r="I148" s="13">
        <v>19950</v>
      </c>
      <c r="J148" s="13">
        <v>191520</v>
      </c>
      <c r="K148" s="5">
        <v>41883</v>
      </c>
    </row>
    <row r="149" spans="1:11" x14ac:dyDescent="0.3">
      <c r="A149" s="7" t="s">
        <v>28</v>
      </c>
      <c r="B149" s="8" t="s">
        <v>26</v>
      </c>
      <c r="C149" s="8" t="s">
        <v>13</v>
      </c>
      <c r="D149" s="8" t="s">
        <v>14</v>
      </c>
      <c r="E149" s="11">
        <v>1659</v>
      </c>
      <c r="F149" s="13">
        <v>260</v>
      </c>
      <c r="G149" s="13">
        <v>125</v>
      </c>
      <c r="H149" s="13">
        <v>207375</v>
      </c>
      <c r="I149" s="13">
        <v>26958.75</v>
      </c>
      <c r="J149" s="13">
        <v>199080</v>
      </c>
      <c r="K149" s="5">
        <v>41640</v>
      </c>
    </row>
    <row r="150" spans="1:11" x14ac:dyDescent="0.3">
      <c r="A150" s="7" t="s">
        <v>15</v>
      </c>
      <c r="B150" s="8" t="s">
        <v>26</v>
      </c>
      <c r="C150" s="8" t="s">
        <v>13</v>
      </c>
      <c r="D150" s="8" t="s">
        <v>16</v>
      </c>
      <c r="E150" s="11">
        <v>552</v>
      </c>
      <c r="F150" s="13">
        <v>260</v>
      </c>
      <c r="G150" s="13">
        <v>350</v>
      </c>
      <c r="H150" s="13">
        <v>193200</v>
      </c>
      <c r="I150" s="13">
        <v>9660</v>
      </c>
      <c r="J150" s="13">
        <v>143520</v>
      </c>
      <c r="K150" s="5">
        <v>41852</v>
      </c>
    </row>
    <row r="151" spans="1:11" x14ac:dyDescent="0.3">
      <c r="A151" s="7" t="s">
        <v>28</v>
      </c>
      <c r="B151" s="8" t="s">
        <v>26</v>
      </c>
      <c r="C151" s="8" t="s">
        <v>13</v>
      </c>
      <c r="D151" s="8" t="s">
        <v>16</v>
      </c>
      <c r="E151" s="11">
        <v>1645</v>
      </c>
      <c r="F151" s="13">
        <v>260</v>
      </c>
      <c r="G151" s="13">
        <v>125</v>
      </c>
      <c r="H151" s="13">
        <v>205625</v>
      </c>
      <c r="I151" s="13">
        <v>14393.75</v>
      </c>
      <c r="J151" s="13">
        <v>197400</v>
      </c>
      <c r="K151" s="5">
        <v>41760</v>
      </c>
    </row>
    <row r="152" spans="1:11" x14ac:dyDescent="0.3">
      <c r="A152" s="7" t="s">
        <v>15</v>
      </c>
      <c r="B152" s="8" t="s">
        <v>26</v>
      </c>
      <c r="C152" s="8" t="s">
        <v>20</v>
      </c>
      <c r="D152" s="8" t="s">
        <v>14</v>
      </c>
      <c r="E152" s="11">
        <v>623</v>
      </c>
      <c r="F152" s="13">
        <v>250</v>
      </c>
      <c r="G152" s="13">
        <v>350</v>
      </c>
      <c r="H152" s="13">
        <v>218050</v>
      </c>
      <c r="I152" s="13">
        <v>26166</v>
      </c>
      <c r="J152" s="13">
        <v>161980</v>
      </c>
      <c r="K152" s="5">
        <v>41518</v>
      </c>
    </row>
    <row r="153" spans="1:11" x14ac:dyDescent="0.3">
      <c r="A153" s="7" t="s">
        <v>15</v>
      </c>
      <c r="B153" s="8" t="s">
        <v>24</v>
      </c>
      <c r="C153" s="8" t="s">
        <v>18</v>
      </c>
      <c r="D153" s="8" t="s">
        <v>16</v>
      </c>
      <c r="E153" s="11">
        <v>602</v>
      </c>
      <c r="F153" s="13">
        <v>10</v>
      </c>
      <c r="G153" s="13">
        <v>350</v>
      </c>
      <c r="H153" s="13">
        <v>210700</v>
      </c>
      <c r="I153" s="13">
        <v>10535</v>
      </c>
      <c r="J153" s="13">
        <v>156520</v>
      </c>
      <c r="K153" s="5">
        <v>41791</v>
      </c>
    </row>
    <row r="154" spans="1:11" x14ac:dyDescent="0.3">
      <c r="A154" s="7" t="s">
        <v>15</v>
      </c>
      <c r="B154" s="8" t="s">
        <v>24</v>
      </c>
      <c r="C154" s="8" t="s">
        <v>17</v>
      </c>
      <c r="D154" s="8" t="s">
        <v>16</v>
      </c>
      <c r="E154" s="11">
        <v>602</v>
      </c>
      <c r="F154" s="13">
        <v>120</v>
      </c>
      <c r="G154" s="13">
        <v>350</v>
      </c>
      <c r="H154" s="13">
        <v>210700</v>
      </c>
      <c r="I154" s="13">
        <v>10535</v>
      </c>
      <c r="J154" s="13">
        <v>156520</v>
      </c>
      <c r="K154" s="5">
        <v>41791</v>
      </c>
    </row>
    <row r="155" spans="1:11" x14ac:dyDescent="0.3">
      <c r="A155" s="7" t="s">
        <v>28</v>
      </c>
      <c r="B155" s="8" t="s">
        <v>24</v>
      </c>
      <c r="C155" s="8" t="s">
        <v>27</v>
      </c>
      <c r="D155" s="8" t="s">
        <v>14</v>
      </c>
      <c r="E155" s="11">
        <v>1804</v>
      </c>
      <c r="F155" s="13">
        <v>5</v>
      </c>
      <c r="G155" s="13">
        <v>125</v>
      </c>
      <c r="H155" s="13">
        <v>225500</v>
      </c>
      <c r="I155" s="13">
        <v>22550</v>
      </c>
      <c r="J155" s="13">
        <v>216480</v>
      </c>
      <c r="K155" s="5">
        <v>41579</v>
      </c>
    </row>
    <row r="156" spans="1:11" x14ac:dyDescent="0.3">
      <c r="A156" s="7" t="s">
        <v>28</v>
      </c>
      <c r="B156" s="8" t="s">
        <v>25</v>
      </c>
      <c r="C156" s="8" t="s">
        <v>27</v>
      </c>
      <c r="D156" s="8" t="s">
        <v>19</v>
      </c>
      <c r="E156" s="11">
        <v>1660</v>
      </c>
      <c r="F156" s="13">
        <v>5</v>
      </c>
      <c r="G156" s="13">
        <v>125</v>
      </c>
      <c r="H156" s="13">
        <v>207500</v>
      </c>
      <c r="I156" s="13">
        <v>4150</v>
      </c>
      <c r="J156" s="13">
        <v>199200</v>
      </c>
      <c r="K156" s="5">
        <v>41579</v>
      </c>
    </row>
    <row r="157" spans="1:11" x14ac:dyDescent="0.3">
      <c r="A157" s="7" t="s">
        <v>11</v>
      </c>
      <c r="B157" s="8" t="s">
        <v>25</v>
      </c>
      <c r="C157" s="8" t="s">
        <v>21</v>
      </c>
      <c r="D157" s="8" t="s">
        <v>14</v>
      </c>
      <c r="E157" s="11">
        <v>801</v>
      </c>
      <c r="F157" s="13">
        <v>3</v>
      </c>
      <c r="G157" s="13">
        <v>300</v>
      </c>
      <c r="H157" s="13">
        <v>240300</v>
      </c>
      <c r="I157" s="13">
        <v>33642</v>
      </c>
      <c r="J157" s="13">
        <v>200250</v>
      </c>
      <c r="K157" s="5">
        <v>41821</v>
      </c>
    </row>
    <row r="158" spans="1:11" x14ac:dyDescent="0.3">
      <c r="A158" s="7" t="s">
        <v>15</v>
      </c>
      <c r="B158" s="8" t="s">
        <v>26</v>
      </c>
      <c r="C158" s="8" t="s">
        <v>18</v>
      </c>
      <c r="D158" s="8" t="s">
        <v>14</v>
      </c>
      <c r="E158" s="11">
        <v>700</v>
      </c>
      <c r="F158" s="13">
        <v>10</v>
      </c>
      <c r="G158" s="13">
        <v>350</v>
      </c>
      <c r="H158" s="13">
        <v>245000</v>
      </c>
      <c r="I158" s="13">
        <v>34300</v>
      </c>
      <c r="J158" s="13">
        <v>182000</v>
      </c>
      <c r="K158" s="5">
        <v>41944</v>
      </c>
    </row>
    <row r="159" spans="1:11" x14ac:dyDescent="0.3">
      <c r="A159" s="7" t="s">
        <v>28</v>
      </c>
      <c r="B159" s="8" t="s">
        <v>26</v>
      </c>
      <c r="C159" s="8" t="s">
        <v>18</v>
      </c>
      <c r="D159" s="8" t="s">
        <v>19</v>
      </c>
      <c r="E159" s="11">
        <v>1774</v>
      </c>
      <c r="F159" s="13">
        <v>10</v>
      </c>
      <c r="G159" s="13">
        <v>125</v>
      </c>
      <c r="H159" s="13">
        <v>221750</v>
      </c>
      <c r="I159" s="13">
        <v>6652.5</v>
      </c>
      <c r="J159" s="13">
        <v>212880</v>
      </c>
      <c r="K159" s="5">
        <v>41699</v>
      </c>
    </row>
    <row r="160" spans="1:11" x14ac:dyDescent="0.3">
      <c r="A160" s="7" t="s">
        <v>28</v>
      </c>
      <c r="B160" s="8" t="s">
        <v>26</v>
      </c>
      <c r="C160" s="8" t="s">
        <v>17</v>
      </c>
      <c r="D160" s="8" t="s">
        <v>14</v>
      </c>
      <c r="E160" s="11">
        <v>1916</v>
      </c>
      <c r="F160" s="13">
        <v>120</v>
      </c>
      <c r="G160" s="13">
        <v>125</v>
      </c>
      <c r="H160" s="13">
        <v>239500</v>
      </c>
      <c r="I160" s="13">
        <v>23950</v>
      </c>
      <c r="J160" s="13">
        <v>229920</v>
      </c>
      <c r="K160" s="5">
        <v>41609</v>
      </c>
    </row>
    <row r="161" spans="1:11" x14ac:dyDescent="0.3">
      <c r="A161" s="7" t="s">
        <v>15</v>
      </c>
      <c r="B161" s="8" t="s">
        <v>26</v>
      </c>
      <c r="C161" s="8" t="s">
        <v>13</v>
      </c>
      <c r="D161" s="8" t="s">
        <v>14</v>
      </c>
      <c r="E161" s="11">
        <v>707</v>
      </c>
      <c r="F161" s="13">
        <v>260</v>
      </c>
      <c r="G161" s="13">
        <v>350</v>
      </c>
      <c r="H161" s="13">
        <v>247450</v>
      </c>
      <c r="I161" s="13">
        <v>24745</v>
      </c>
      <c r="J161" s="13">
        <v>183820</v>
      </c>
      <c r="K161" s="5">
        <v>41883</v>
      </c>
    </row>
    <row r="162" spans="1:11" x14ac:dyDescent="0.3">
      <c r="A162" s="7" t="s">
        <v>11</v>
      </c>
      <c r="B162" s="8" t="s">
        <v>24</v>
      </c>
      <c r="C162" s="8" t="s">
        <v>20</v>
      </c>
      <c r="D162" s="8" t="s">
        <v>16</v>
      </c>
      <c r="E162" s="11">
        <v>808</v>
      </c>
      <c r="F162" s="13">
        <v>250</v>
      </c>
      <c r="G162" s="13">
        <v>300</v>
      </c>
      <c r="H162" s="13">
        <v>242400</v>
      </c>
      <c r="I162" s="13">
        <v>19392</v>
      </c>
      <c r="J162" s="13">
        <v>202000</v>
      </c>
      <c r="K162" s="5">
        <v>41609</v>
      </c>
    </row>
    <row r="163" spans="1:11" x14ac:dyDescent="0.3">
      <c r="A163" s="7" t="s">
        <v>28</v>
      </c>
      <c r="B163" s="8" t="s">
        <v>25</v>
      </c>
      <c r="C163" s="8" t="s">
        <v>18</v>
      </c>
      <c r="D163" s="8" t="s">
        <v>19</v>
      </c>
      <c r="E163" s="11">
        <v>1823</v>
      </c>
      <c r="F163" s="13">
        <v>10</v>
      </c>
      <c r="G163" s="13">
        <v>125</v>
      </c>
      <c r="H163" s="13">
        <v>227875</v>
      </c>
      <c r="I163" s="13">
        <v>2278.75</v>
      </c>
      <c r="J163" s="13">
        <v>218760</v>
      </c>
      <c r="K163" s="5">
        <v>41821</v>
      </c>
    </row>
    <row r="164" spans="1:11" x14ac:dyDescent="0.3">
      <c r="A164" s="7" t="s">
        <v>11</v>
      </c>
      <c r="B164" s="8" t="s">
        <v>26</v>
      </c>
      <c r="C164" s="8" t="s">
        <v>13</v>
      </c>
      <c r="D164" s="8" t="s">
        <v>14</v>
      </c>
      <c r="E164" s="11">
        <v>888</v>
      </c>
      <c r="F164" s="13">
        <v>260</v>
      </c>
      <c r="G164" s="13">
        <v>300</v>
      </c>
      <c r="H164" s="13">
        <v>266400</v>
      </c>
      <c r="I164" s="13">
        <v>37296</v>
      </c>
      <c r="J164" s="13">
        <v>222000</v>
      </c>
      <c r="K164" s="5">
        <v>41699</v>
      </c>
    </row>
    <row r="165" spans="1:11" x14ac:dyDescent="0.3">
      <c r="A165" s="7" t="s">
        <v>11</v>
      </c>
      <c r="B165" s="8" t="s">
        <v>26</v>
      </c>
      <c r="C165" s="8" t="s">
        <v>18</v>
      </c>
      <c r="D165" s="8" t="s">
        <v>14</v>
      </c>
      <c r="E165" s="11">
        <v>873</v>
      </c>
      <c r="F165" s="13">
        <v>10</v>
      </c>
      <c r="G165" s="13">
        <v>300</v>
      </c>
      <c r="H165" s="13">
        <v>261900</v>
      </c>
      <c r="I165" s="13">
        <v>28809</v>
      </c>
      <c r="J165" s="13">
        <v>218250</v>
      </c>
      <c r="K165" s="5">
        <v>41640</v>
      </c>
    </row>
    <row r="166" spans="1:11" x14ac:dyDescent="0.3">
      <c r="A166" s="7" t="s">
        <v>11</v>
      </c>
      <c r="B166" s="8" t="s">
        <v>25</v>
      </c>
      <c r="C166" s="8" t="s">
        <v>18</v>
      </c>
      <c r="D166" s="8" t="s">
        <v>22</v>
      </c>
      <c r="E166" s="11">
        <v>788</v>
      </c>
      <c r="F166" s="13">
        <v>10</v>
      </c>
      <c r="G166" s="13">
        <v>300</v>
      </c>
      <c r="H166" s="13">
        <v>236400</v>
      </c>
      <c r="I166" s="13">
        <v>0</v>
      </c>
      <c r="J166" s="13">
        <v>197000</v>
      </c>
      <c r="K166" s="5">
        <v>41518</v>
      </c>
    </row>
    <row r="167" spans="1:11" x14ac:dyDescent="0.3">
      <c r="A167" s="7" t="s">
        <v>28</v>
      </c>
      <c r="B167" s="8" t="s">
        <v>25</v>
      </c>
      <c r="C167" s="8" t="s">
        <v>21</v>
      </c>
      <c r="D167" s="8" t="s">
        <v>14</v>
      </c>
      <c r="E167" s="11">
        <v>2156</v>
      </c>
      <c r="F167" s="13">
        <v>3</v>
      </c>
      <c r="G167" s="13">
        <v>125</v>
      </c>
      <c r="H167" s="13">
        <v>269500</v>
      </c>
      <c r="I167" s="13">
        <v>32340</v>
      </c>
      <c r="J167" s="13">
        <v>258720</v>
      </c>
      <c r="K167" s="5">
        <v>41913</v>
      </c>
    </row>
    <row r="168" spans="1:11" x14ac:dyDescent="0.3">
      <c r="A168" s="7" t="s">
        <v>28</v>
      </c>
      <c r="B168" s="8" t="s">
        <v>25</v>
      </c>
      <c r="C168" s="8" t="s">
        <v>18</v>
      </c>
      <c r="D168" s="8" t="s">
        <v>14</v>
      </c>
      <c r="E168" s="11">
        <v>2156</v>
      </c>
      <c r="F168" s="13">
        <v>10</v>
      </c>
      <c r="G168" s="13">
        <v>125</v>
      </c>
      <c r="H168" s="13">
        <v>269500</v>
      </c>
      <c r="I168" s="13">
        <v>32340</v>
      </c>
      <c r="J168" s="13">
        <v>258720</v>
      </c>
      <c r="K168" s="5">
        <v>41913</v>
      </c>
    </row>
    <row r="169" spans="1:11" x14ac:dyDescent="0.3">
      <c r="A169" s="7" t="s">
        <v>15</v>
      </c>
      <c r="B169" s="8" t="s">
        <v>24</v>
      </c>
      <c r="C169" s="8" t="s">
        <v>13</v>
      </c>
      <c r="D169" s="8" t="s">
        <v>16</v>
      </c>
      <c r="E169" s="11">
        <v>727</v>
      </c>
      <c r="F169" s="13">
        <v>260</v>
      </c>
      <c r="G169" s="13">
        <v>350</v>
      </c>
      <c r="H169" s="13">
        <v>254450</v>
      </c>
      <c r="I169" s="13">
        <v>15267</v>
      </c>
      <c r="J169" s="13">
        <v>189020</v>
      </c>
      <c r="K169" s="5">
        <v>41548</v>
      </c>
    </row>
    <row r="170" spans="1:11" x14ac:dyDescent="0.3">
      <c r="A170" s="7" t="s">
        <v>15</v>
      </c>
      <c r="B170" s="8" t="s">
        <v>24</v>
      </c>
      <c r="C170" s="8" t="s">
        <v>18</v>
      </c>
      <c r="D170" s="8" t="s">
        <v>16</v>
      </c>
      <c r="E170" s="11">
        <v>727</v>
      </c>
      <c r="F170" s="13">
        <v>10</v>
      </c>
      <c r="G170" s="13">
        <v>350</v>
      </c>
      <c r="H170" s="13">
        <v>254450</v>
      </c>
      <c r="I170" s="13">
        <v>15267</v>
      </c>
      <c r="J170" s="13">
        <v>189020</v>
      </c>
      <c r="K170" s="5">
        <v>41548</v>
      </c>
    </row>
    <row r="171" spans="1:11" x14ac:dyDescent="0.3">
      <c r="A171" s="7" t="s">
        <v>15</v>
      </c>
      <c r="B171" s="8" t="s">
        <v>25</v>
      </c>
      <c r="C171" s="8" t="s">
        <v>27</v>
      </c>
      <c r="D171" s="8" t="s">
        <v>16</v>
      </c>
      <c r="E171" s="11">
        <v>720</v>
      </c>
      <c r="F171" s="13">
        <v>5</v>
      </c>
      <c r="G171" s="13">
        <v>350</v>
      </c>
      <c r="H171" s="13">
        <v>252000</v>
      </c>
      <c r="I171" s="13">
        <v>12600</v>
      </c>
      <c r="J171" s="13">
        <v>187200</v>
      </c>
      <c r="K171" s="5">
        <v>41518</v>
      </c>
    </row>
    <row r="172" spans="1:11" x14ac:dyDescent="0.3">
      <c r="A172" s="7" t="s">
        <v>28</v>
      </c>
      <c r="B172" s="8" t="s">
        <v>25</v>
      </c>
      <c r="C172" s="8" t="s">
        <v>17</v>
      </c>
      <c r="D172" s="8" t="s">
        <v>16</v>
      </c>
      <c r="E172" s="11">
        <v>2110</v>
      </c>
      <c r="F172" s="13">
        <v>120</v>
      </c>
      <c r="G172" s="13">
        <v>125</v>
      </c>
      <c r="H172" s="13">
        <v>263750</v>
      </c>
      <c r="I172" s="13">
        <v>23737.5</v>
      </c>
      <c r="J172" s="13">
        <v>253200</v>
      </c>
      <c r="K172" s="5">
        <v>41883</v>
      </c>
    </row>
    <row r="173" spans="1:11" x14ac:dyDescent="0.3">
      <c r="A173" s="7" t="s">
        <v>28</v>
      </c>
      <c r="B173" s="8" t="s">
        <v>26</v>
      </c>
      <c r="C173" s="8" t="s">
        <v>18</v>
      </c>
      <c r="D173" s="8" t="s">
        <v>19</v>
      </c>
      <c r="E173" s="11">
        <v>2009</v>
      </c>
      <c r="F173" s="13">
        <v>10</v>
      </c>
      <c r="G173" s="13">
        <v>125</v>
      </c>
      <c r="H173" s="13">
        <v>251125</v>
      </c>
      <c r="I173" s="13">
        <v>7533.75</v>
      </c>
      <c r="J173" s="13">
        <v>241080</v>
      </c>
      <c r="K173" s="5">
        <v>41913</v>
      </c>
    </row>
    <row r="174" spans="1:11" x14ac:dyDescent="0.3">
      <c r="A174" s="7" t="s">
        <v>28</v>
      </c>
      <c r="B174" s="8" t="s">
        <v>26</v>
      </c>
      <c r="C174" s="8" t="s">
        <v>17</v>
      </c>
      <c r="D174" s="8" t="s">
        <v>19</v>
      </c>
      <c r="E174" s="11">
        <v>2009</v>
      </c>
      <c r="F174" s="13">
        <v>120</v>
      </c>
      <c r="G174" s="13">
        <v>125</v>
      </c>
      <c r="H174" s="13">
        <v>251125</v>
      </c>
      <c r="I174" s="13">
        <v>7533.75</v>
      </c>
      <c r="J174" s="13">
        <v>241080</v>
      </c>
      <c r="K174" s="5">
        <v>41913</v>
      </c>
    </row>
    <row r="175" spans="1:11" x14ac:dyDescent="0.3">
      <c r="A175" s="7" t="s">
        <v>28</v>
      </c>
      <c r="B175" s="8" t="s">
        <v>24</v>
      </c>
      <c r="C175" s="8" t="s">
        <v>17</v>
      </c>
      <c r="D175" s="8" t="s">
        <v>14</v>
      </c>
      <c r="E175" s="11">
        <v>2438</v>
      </c>
      <c r="F175" s="13">
        <v>120</v>
      </c>
      <c r="G175" s="13">
        <v>125</v>
      </c>
      <c r="H175" s="13">
        <v>304750</v>
      </c>
      <c r="I175" s="13">
        <v>45712.5</v>
      </c>
      <c r="J175" s="13">
        <v>292560</v>
      </c>
      <c r="K175" s="5">
        <v>41609</v>
      </c>
    </row>
    <row r="176" spans="1:11" x14ac:dyDescent="0.3">
      <c r="A176" s="7" t="s">
        <v>11</v>
      </c>
      <c r="B176" s="8" t="s">
        <v>24</v>
      </c>
      <c r="C176" s="8" t="s">
        <v>21</v>
      </c>
      <c r="D176" s="8" t="s">
        <v>14</v>
      </c>
      <c r="E176" s="11">
        <v>1010</v>
      </c>
      <c r="F176" s="13">
        <v>3</v>
      </c>
      <c r="G176" s="13">
        <v>300</v>
      </c>
      <c r="H176" s="13">
        <v>303000</v>
      </c>
      <c r="I176" s="13">
        <v>42420</v>
      </c>
      <c r="J176" s="13">
        <v>252500</v>
      </c>
      <c r="K176" s="5">
        <v>41913</v>
      </c>
    </row>
    <row r="177" spans="1:11" x14ac:dyDescent="0.3">
      <c r="A177" s="7" t="s">
        <v>11</v>
      </c>
      <c r="B177" s="8" t="s">
        <v>24</v>
      </c>
      <c r="C177" s="8" t="s">
        <v>20</v>
      </c>
      <c r="D177" s="8" t="s">
        <v>14</v>
      </c>
      <c r="E177" s="11">
        <v>1010</v>
      </c>
      <c r="F177" s="13">
        <v>250</v>
      </c>
      <c r="G177" s="13">
        <v>300</v>
      </c>
      <c r="H177" s="13">
        <v>303000</v>
      </c>
      <c r="I177" s="13">
        <v>42420</v>
      </c>
      <c r="J177" s="13">
        <v>252500</v>
      </c>
      <c r="K177" s="5">
        <v>41913</v>
      </c>
    </row>
    <row r="178" spans="1:11" x14ac:dyDescent="0.3">
      <c r="A178" s="7" t="s">
        <v>28</v>
      </c>
      <c r="B178" s="8" t="s">
        <v>24</v>
      </c>
      <c r="C178" s="8" t="s">
        <v>20</v>
      </c>
      <c r="D178" s="8" t="s">
        <v>14</v>
      </c>
      <c r="E178" s="11">
        <v>2387</v>
      </c>
      <c r="F178" s="13">
        <v>250</v>
      </c>
      <c r="G178" s="13">
        <v>125</v>
      </c>
      <c r="H178" s="13">
        <v>298375</v>
      </c>
      <c r="I178" s="13">
        <v>35805</v>
      </c>
      <c r="J178" s="13">
        <v>286440</v>
      </c>
      <c r="K178" s="5">
        <v>41944</v>
      </c>
    </row>
    <row r="179" spans="1:11" x14ac:dyDescent="0.3">
      <c r="A179" s="7" t="s">
        <v>28</v>
      </c>
      <c r="B179" s="8" t="s">
        <v>25</v>
      </c>
      <c r="C179" s="8" t="s">
        <v>18</v>
      </c>
      <c r="D179" s="8" t="s">
        <v>19</v>
      </c>
      <c r="E179" s="11">
        <v>2145</v>
      </c>
      <c r="F179" s="13">
        <v>10</v>
      </c>
      <c r="G179" s="13">
        <v>125</v>
      </c>
      <c r="H179" s="13">
        <v>268125</v>
      </c>
      <c r="I179" s="13">
        <v>5362.5</v>
      </c>
      <c r="J179" s="13">
        <v>257400</v>
      </c>
      <c r="K179" s="5">
        <v>41548</v>
      </c>
    </row>
    <row r="180" spans="1:11" x14ac:dyDescent="0.3">
      <c r="A180" s="7" t="s">
        <v>28</v>
      </c>
      <c r="B180" s="8" t="s">
        <v>25</v>
      </c>
      <c r="C180" s="8" t="s">
        <v>17</v>
      </c>
      <c r="D180" s="8" t="s">
        <v>19</v>
      </c>
      <c r="E180" s="11">
        <v>2145</v>
      </c>
      <c r="F180" s="13">
        <v>120</v>
      </c>
      <c r="G180" s="13">
        <v>125</v>
      </c>
      <c r="H180" s="13">
        <v>268125</v>
      </c>
      <c r="I180" s="13">
        <v>5362.5</v>
      </c>
      <c r="J180" s="13">
        <v>257400</v>
      </c>
      <c r="K180" s="5">
        <v>41548</v>
      </c>
    </row>
    <row r="181" spans="1:11" x14ac:dyDescent="0.3">
      <c r="A181" s="7" t="s">
        <v>28</v>
      </c>
      <c r="B181" s="8" t="s">
        <v>26</v>
      </c>
      <c r="C181" s="8" t="s">
        <v>21</v>
      </c>
      <c r="D181" s="8" t="s">
        <v>14</v>
      </c>
      <c r="E181" s="11">
        <v>2416</v>
      </c>
      <c r="F181" s="13">
        <v>3</v>
      </c>
      <c r="G181" s="13">
        <v>125</v>
      </c>
      <c r="H181" s="13">
        <v>302000</v>
      </c>
      <c r="I181" s="13">
        <v>36240</v>
      </c>
      <c r="J181" s="13">
        <v>289920</v>
      </c>
      <c r="K181" s="5">
        <v>41518</v>
      </c>
    </row>
    <row r="182" spans="1:11" x14ac:dyDescent="0.3">
      <c r="A182" s="7" t="s">
        <v>15</v>
      </c>
      <c r="B182" s="8" t="s">
        <v>25</v>
      </c>
      <c r="C182" s="8" t="s">
        <v>21</v>
      </c>
      <c r="D182" s="8" t="s">
        <v>14</v>
      </c>
      <c r="E182" s="11">
        <v>886</v>
      </c>
      <c r="F182" s="13">
        <v>3</v>
      </c>
      <c r="G182" s="13">
        <v>350</v>
      </c>
      <c r="H182" s="13">
        <v>310100</v>
      </c>
      <c r="I182" s="13">
        <v>37212</v>
      </c>
      <c r="J182" s="13">
        <v>230360</v>
      </c>
      <c r="K182" s="5">
        <v>41791</v>
      </c>
    </row>
    <row r="183" spans="1:11" x14ac:dyDescent="0.3">
      <c r="A183" s="7" t="s">
        <v>15</v>
      </c>
      <c r="B183" s="8" t="s">
        <v>25</v>
      </c>
      <c r="C183" s="8" t="s">
        <v>18</v>
      </c>
      <c r="D183" s="8" t="s">
        <v>14</v>
      </c>
      <c r="E183" s="11">
        <v>886</v>
      </c>
      <c r="F183" s="13">
        <v>10</v>
      </c>
      <c r="G183" s="13">
        <v>350</v>
      </c>
      <c r="H183" s="13">
        <v>310100</v>
      </c>
      <c r="I183" s="13">
        <v>37212</v>
      </c>
      <c r="J183" s="13">
        <v>230360</v>
      </c>
      <c r="K183" s="5">
        <v>41791</v>
      </c>
    </row>
    <row r="184" spans="1:11" x14ac:dyDescent="0.3">
      <c r="A184" s="7" t="s">
        <v>15</v>
      </c>
      <c r="B184" s="8" t="s">
        <v>26</v>
      </c>
      <c r="C184" s="8" t="s">
        <v>21</v>
      </c>
      <c r="D184" s="8" t="s">
        <v>14</v>
      </c>
      <c r="E184" s="11">
        <v>923</v>
      </c>
      <c r="F184" s="13">
        <v>3</v>
      </c>
      <c r="G184" s="13">
        <v>350</v>
      </c>
      <c r="H184" s="13">
        <v>323050</v>
      </c>
      <c r="I184" s="13">
        <v>41996.5</v>
      </c>
      <c r="J184" s="13">
        <v>239980</v>
      </c>
      <c r="K184" s="5">
        <v>41699</v>
      </c>
    </row>
    <row r="185" spans="1:11" x14ac:dyDescent="0.3">
      <c r="A185" s="7" t="s">
        <v>11</v>
      </c>
      <c r="B185" s="8" t="s">
        <v>24</v>
      </c>
      <c r="C185" s="8" t="s">
        <v>21</v>
      </c>
      <c r="D185" s="8" t="s">
        <v>16</v>
      </c>
      <c r="E185" s="11">
        <v>991</v>
      </c>
      <c r="F185" s="13">
        <v>3</v>
      </c>
      <c r="G185" s="13">
        <v>300</v>
      </c>
      <c r="H185" s="13">
        <v>297300</v>
      </c>
      <c r="I185" s="13">
        <v>14865</v>
      </c>
      <c r="J185" s="13">
        <v>247750</v>
      </c>
      <c r="K185" s="5">
        <v>41791</v>
      </c>
    </row>
    <row r="186" spans="1:11" x14ac:dyDescent="0.3">
      <c r="A186" s="7" t="s">
        <v>11</v>
      </c>
      <c r="B186" s="8" t="s">
        <v>24</v>
      </c>
      <c r="C186" s="8" t="s">
        <v>18</v>
      </c>
      <c r="D186" s="8" t="s">
        <v>16</v>
      </c>
      <c r="E186" s="11">
        <v>991</v>
      </c>
      <c r="F186" s="13">
        <v>10</v>
      </c>
      <c r="G186" s="13">
        <v>300</v>
      </c>
      <c r="H186" s="13">
        <v>297300</v>
      </c>
      <c r="I186" s="13">
        <v>14865</v>
      </c>
      <c r="J186" s="13">
        <v>247750</v>
      </c>
      <c r="K186" s="5">
        <v>41791</v>
      </c>
    </row>
    <row r="187" spans="1:11" x14ac:dyDescent="0.3">
      <c r="A187" s="7" t="s">
        <v>28</v>
      </c>
      <c r="B187" s="8" t="s">
        <v>26</v>
      </c>
      <c r="C187" s="8" t="s">
        <v>20</v>
      </c>
      <c r="D187" s="8" t="s">
        <v>14</v>
      </c>
      <c r="E187" s="11">
        <v>2529</v>
      </c>
      <c r="F187" s="13">
        <v>250</v>
      </c>
      <c r="G187" s="13">
        <v>125</v>
      </c>
      <c r="H187" s="13">
        <v>316125</v>
      </c>
      <c r="I187" s="13">
        <v>31612.5</v>
      </c>
      <c r="J187" s="13">
        <v>303480</v>
      </c>
      <c r="K187" s="5">
        <v>41944</v>
      </c>
    </row>
    <row r="188" spans="1:11" x14ac:dyDescent="0.3">
      <c r="A188" s="7" t="s">
        <v>11</v>
      </c>
      <c r="B188" s="8" t="s">
        <v>25</v>
      </c>
      <c r="C188" s="8" t="s">
        <v>27</v>
      </c>
      <c r="D188" s="8" t="s">
        <v>22</v>
      </c>
      <c r="E188" s="11">
        <v>958</v>
      </c>
      <c r="F188" s="13">
        <v>5</v>
      </c>
      <c r="G188" s="13">
        <v>300</v>
      </c>
      <c r="H188" s="13">
        <v>287400</v>
      </c>
      <c r="I188" s="13">
        <v>0</v>
      </c>
      <c r="J188" s="13">
        <v>239500</v>
      </c>
      <c r="K188" s="5">
        <v>41852</v>
      </c>
    </row>
    <row r="189" spans="1:11" x14ac:dyDescent="0.3">
      <c r="A189" s="7" t="s">
        <v>11</v>
      </c>
      <c r="B189" s="8" t="s">
        <v>26</v>
      </c>
      <c r="C189" s="8" t="s">
        <v>21</v>
      </c>
      <c r="D189" s="8" t="s">
        <v>16</v>
      </c>
      <c r="E189" s="11">
        <v>1094</v>
      </c>
      <c r="F189" s="13">
        <v>3</v>
      </c>
      <c r="G189" s="13">
        <v>300</v>
      </c>
      <c r="H189" s="13">
        <v>328200</v>
      </c>
      <c r="I189" s="13">
        <v>29538</v>
      </c>
      <c r="J189" s="13">
        <v>273500</v>
      </c>
      <c r="K189" s="5">
        <v>41791</v>
      </c>
    </row>
    <row r="190" spans="1:11" x14ac:dyDescent="0.3">
      <c r="A190" s="7" t="s">
        <v>11</v>
      </c>
      <c r="B190" s="8" t="s">
        <v>26</v>
      </c>
      <c r="C190" s="8" t="s">
        <v>18</v>
      </c>
      <c r="D190" s="8" t="s">
        <v>16</v>
      </c>
      <c r="E190" s="11">
        <v>1094</v>
      </c>
      <c r="F190" s="13">
        <v>10</v>
      </c>
      <c r="G190" s="13">
        <v>300</v>
      </c>
      <c r="H190" s="13">
        <v>328200</v>
      </c>
      <c r="I190" s="13">
        <v>29538</v>
      </c>
      <c r="J190" s="13">
        <v>273500</v>
      </c>
      <c r="K190" s="5">
        <v>41791</v>
      </c>
    </row>
    <row r="191" spans="1:11" x14ac:dyDescent="0.3">
      <c r="A191" s="7" t="s">
        <v>15</v>
      </c>
      <c r="B191" s="8" t="s">
        <v>24</v>
      </c>
      <c r="C191" s="8" t="s">
        <v>27</v>
      </c>
      <c r="D191" s="8" t="s">
        <v>14</v>
      </c>
      <c r="E191" s="11">
        <v>982.5</v>
      </c>
      <c r="F191" s="13">
        <v>5</v>
      </c>
      <c r="G191" s="13">
        <v>350</v>
      </c>
      <c r="H191" s="13">
        <v>343875</v>
      </c>
      <c r="I191" s="13">
        <v>44703.75</v>
      </c>
      <c r="J191" s="13">
        <v>255450</v>
      </c>
      <c r="K191" s="5">
        <v>41640</v>
      </c>
    </row>
    <row r="192" spans="1:11" x14ac:dyDescent="0.3">
      <c r="A192" s="7" t="s">
        <v>28</v>
      </c>
      <c r="B192" s="8" t="s">
        <v>25</v>
      </c>
      <c r="C192" s="8" t="s">
        <v>21</v>
      </c>
      <c r="D192" s="8" t="s">
        <v>14</v>
      </c>
      <c r="E192" s="11">
        <v>2821</v>
      </c>
      <c r="F192" s="13">
        <v>3</v>
      </c>
      <c r="G192" s="13">
        <v>125</v>
      </c>
      <c r="H192" s="13">
        <v>352625</v>
      </c>
      <c r="I192" s="13">
        <v>49367.5</v>
      </c>
      <c r="J192" s="13">
        <v>338520</v>
      </c>
      <c r="K192" s="5">
        <v>41609</v>
      </c>
    </row>
    <row r="193" spans="1:11" x14ac:dyDescent="0.3">
      <c r="A193" s="7" t="s">
        <v>15</v>
      </c>
      <c r="B193" s="8" t="s">
        <v>24</v>
      </c>
      <c r="C193" s="8" t="s">
        <v>17</v>
      </c>
      <c r="D193" s="8" t="s">
        <v>14</v>
      </c>
      <c r="E193" s="11">
        <v>986</v>
      </c>
      <c r="F193" s="13">
        <v>120</v>
      </c>
      <c r="G193" s="13">
        <v>350</v>
      </c>
      <c r="H193" s="13">
        <v>345100</v>
      </c>
      <c r="I193" s="13">
        <v>41412</v>
      </c>
      <c r="J193" s="13">
        <v>256360</v>
      </c>
      <c r="K193" s="5">
        <v>41913</v>
      </c>
    </row>
    <row r="194" spans="1:11" x14ac:dyDescent="0.3">
      <c r="A194" s="7" t="s">
        <v>15</v>
      </c>
      <c r="B194" s="8" t="s">
        <v>24</v>
      </c>
      <c r="C194" s="8" t="s">
        <v>20</v>
      </c>
      <c r="D194" s="8" t="s">
        <v>14</v>
      </c>
      <c r="E194" s="11">
        <v>986</v>
      </c>
      <c r="F194" s="13">
        <v>250</v>
      </c>
      <c r="G194" s="13">
        <v>350</v>
      </c>
      <c r="H194" s="13">
        <v>345100</v>
      </c>
      <c r="I194" s="13">
        <v>41412</v>
      </c>
      <c r="J194" s="13">
        <v>256360</v>
      </c>
      <c r="K194" s="5">
        <v>41913</v>
      </c>
    </row>
    <row r="195" spans="1:11" x14ac:dyDescent="0.3">
      <c r="A195" s="7" t="s">
        <v>28</v>
      </c>
      <c r="B195" s="8" t="s">
        <v>24</v>
      </c>
      <c r="C195" s="8" t="s">
        <v>13</v>
      </c>
      <c r="D195" s="8" t="s">
        <v>14</v>
      </c>
      <c r="E195" s="11">
        <v>2844</v>
      </c>
      <c r="F195" s="13">
        <v>260</v>
      </c>
      <c r="G195" s="13">
        <v>125</v>
      </c>
      <c r="H195" s="13">
        <v>355500</v>
      </c>
      <c r="I195" s="13">
        <v>49770</v>
      </c>
      <c r="J195" s="13">
        <v>341280</v>
      </c>
      <c r="K195" s="5">
        <v>41760</v>
      </c>
    </row>
    <row r="196" spans="1:11" x14ac:dyDescent="0.3">
      <c r="A196" s="7" t="s">
        <v>11</v>
      </c>
      <c r="B196" s="8" t="s">
        <v>25</v>
      </c>
      <c r="C196" s="8" t="s">
        <v>27</v>
      </c>
      <c r="D196" s="8" t="s">
        <v>16</v>
      </c>
      <c r="E196" s="11">
        <v>1100</v>
      </c>
      <c r="F196" s="13">
        <v>5</v>
      </c>
      <c r="G196" s="13">
        <v>300</v>
      </c>
      <c r="H196" s="13">
        <v>330000</v>
      </c>
      <c r="I196" s="13">
        <v>16500</v>
      </c>
      <c r="J196" s="13">
        <v>275000</v>
      </c>
      <c r="K196" s="5">
        <v>41609</v>
      </c>
    </row>
    <row r="197" spans="1:11" x14ac:dyDescent="0.3">
      <c r="A197" s="7" t="s">
        <v>28</v>
      </c>
      <c r="B197" s="8" t="s">
        <v>26</v>
      </c>
      <c r="C197" s="8" t="s">
        <v>20</v>
      </c>
      <c r="D197" s="8" t="s">
        <v>14</v>
      </c>
      <c r="E197" s="11">
        <v>2954</v>
      </c>
      <c r="F197" s="13">
        <v>250</v>
      </c>
      <c r="G197" s="13">
        <v>125</v>
      </c>
      <c r="H197" s="13">
        <v>369250</v>
      </c>
      <c r="I197" s="13">
        <v>55387.5</v>
      </c>
      <c r="J197" s="13">
        <v>354480</v>
      </c>
      <c r="K197" s="5">
        <v>41579</v>
      </c>
    </row>
    <row r="198" spans="1:11" x14ac:dyDescent="0.3">
      <c r="A198" s="7" t="s">
        <v>28</v>
      </c>
      <c r="B198" s="8" t="s">
        <v>24</v>
      </c>
      <c r="C198" s="8" t="s">
        <v>27</v>
      </c>
      <c r="D198" s="8" t="s">
        <v>16</v>
      </c>
      <c r="E198" s="11">
        <v>2797</v>
      </c>
      <c r="F198" s="13">
        <v>5</v>
      </c>
      <c r="G198" s="13">
        <v>125</v>
      </c>
      <c r="H198" s="13">
        <v>349625</v>
      </c>
      <c r="I198" s="13">
        <v>31466.25</v>
      </c>
      <c r="J198" s="13">
        <v>335640</v>
      </c>
      <c r="K198" s="5">
        <v>41974</v>
      </c>
    </row>
    <row r="199" spans="1:11" x14ac:dyDescent="0.3">
      <c r="A199" s="7" t="s">
        <v>28</v>
      </c>
      <c r="B199" s="8" t="s">
        <v>24</v>
      </c>
      <c r="C199" s="8" t="s">
        <v>18</v>
      </c>
      <c r="D199" s="8" t="s">
        <v>16</v>
      </c>
      <c r="E199" s="11">
        <v>2797</v>
      </c>
      <c r="F199" s="13">
        <v>10</v>
      </c>
      <c r="G199" s="13">
        <v>125</v>
      </c>
      <c r="H199" s="13">
        <v>349625</v>
      </c>
      <c r="I199" s="13">
        <v>31466.25</v>
      </c>
      <c r="J199" s="13">
        <v>335640</v>
      </c>
      <c r="K199" s="5">
        <v>41974</v>
      </c>
    </row>
    <row r="200" spans="1:11" x14ac:dyDescent="0.3">
      <c r="A200" s="7" t="s">
        <v>15</v>
      </c>
      <c r="B200" s="8" t="s">
        <v>25</v>
      </c>
      <c r="C200" s="8" t="s">
        <v>27</v>
      </c>
      <c r="D200" s="8" t="s">
        <v>16</v>
      </c>
      <c r="E200" s="11">
        <v>980</v>
      </c>
      <c r="F200" s="13">
        <v>5</v>
      </c>
      <c r="G200" s="13">
        <v>350</v>
      </c>
      <c r="H200" s="13">
        <v>343000</v>
      </c>
      <c r="I200" s="13">
        <v>20580</v>
      </c>
      <c r="J200" s="13">
        <v>254800</v>
      </c>
      <c r="K200" s="5">
        <v>41730</v>
      </c>
    </row>
    <row r="201" spans="1:11" x14ac:dyDescent="0.3">
      <c r="A201" s="7" t="s">
        <v>11</v>
      </c>
      <c r="B201" s="8" t="s">
        <v>25</v>
      </c>
      <c r="C201" s="8" t="s">
        <v>13</v>
      </c>
      <c r="D201" s="8" t="s">
        <v>19</v>
      </c>
      <c r="E201" s="11">
        <v>1101</v>
      </c>
      <c r="F201" s="13">
        <v>260</v>
      </c>
      <c r="G201" s="13">
        <v>300</v>
      </c>
      <c r="H201" s="13">
        <v>330300</v>
      </c>
      <c r="I201" s="13">
        <v>6606</v>
      </c>
      <c r="J201" s="13">
        <v>275250</v>
      </c>
      <c r="K201" s="5">
        <v>41699</v>
      </c>
    </row>
    <row r="202" spans="1:11" x14ac:dyDescent="0.3">
      <c r="A202" s="7" t="s">
        <v>28</v>
      </c>
      <c r="B202" s="8" t="s">
        <v>24</v>
      </c>
      <c r="C202" s="8" t="s">
        <v>17</v>
      </c>
      <c r="D202" s="8" t="s">
        <v>16</v>
      </c>
      <c r="E202" s="11">
        <v>2755</v>
      </c>
      <c r="F202" s="13">
        <v>120</v>
      </c>
      <c r="G202" s="13">
        <v>125</v>
      </c>
      <c r="H202" s="13">
        <v>344375</v>
      </c>
      <c r="I202" s="13">
        <v>20662.5</v>
      </c>
      <c r="J202" s="13">
        <v>330600</v>
      </c>
      <c r="K202" s="5">
        <v>41671</v>
      </c>
    </row>
    <row r="203" spans="1:11" x14ac:dyDescent="0.3">
      <c r="A203" s="7" t="s">
        <v>15</v>
      </c>
      <c r="B203" s="8" t="s">
        <v>26</v>
      </c>
      <c r="C203" s="8" t="s">
        <v>20</v>
      </c>
      <c r="D203" s="8" t="s">
        <v>19</v>
      </c>
      <c r="E203" s="11">
        <v>943.5</v>
      </c>
      <c r="F203" s="13">
        <v>250</v>
      </c>
      <c r="G203" s="13">
        <v>350</v>
      </c>
      <c r="H203" s="13">
        <v>330225</v>
      </c>
      <c r="I203" s="13">
        <v>3302.25</v>
      </c>
      <c r="J203" s="13">
        <v>245310</v>
      </c>
      <c r="K203" s="5">
        <v>41730</v>
      </c>
    </row>
    <row r="204" spans="1:11" x14ac:dyDescent="0.3">
      <c r="A204" s="7" t="s">
        <v>28</v>
      </c>
      <c r="B204" s="8" t="s">
        <v>26</v>
      </c>
      <c r="C204" s="8" t="s">
        <v>27</v>
      </c>
      <c r="D204" s="8" t="s">
        <v>22</v>
      </c>
      <c r="E204" s="11">
        <v>2665.5</v>
      </c>
      <c r="F204" s="13">
        <v>5</v>
      </c>
      <c r="G204" s="13">
        <v>125</v>
      </c>
      <c r="H204" s="13">
        <v>333187.5</v>
      </c>
      <c r="I204" s="13">
        <v>0</v>
      </c>
      <c r="J204" s="13">
        <v>319860</v>
      </c>
      <c r="K204" s="5">
        <v>41821</v>
      </c>
    </row>
    <row r="205" spans="1:11" x14ac:dyDescent="0.3">
      <c r="A205" s="7" t="s">
        <v>28</v>
      </c>
      <c r="B205" s="8" t="s">
        <v>26</v>
      </c>
      <c r="C205" s="8" t="s">
        <v>18</v>
      </c>
      <c r="D205" s="8" t="s">
        <v>19</v>
      </c>
      <c r="E205" s="11">
        <v>2729</v>
      </c>
      <c r="F205" s="13">
        <v>10</v>
      </c>
      <c r="G205" s="13">
        <v>125</v>
      </c>
      <c r="H205" s="13">
        <v>341125</v>
      </c>
      <c r="I205" s="13">
        <v>6822.5</v>
      </c>
      <c r="J205" s="13">
        <v>327480</v>
      </c>
      <c r="K205" s="5">
        <v>41974</v>
      </c>
    </row>
    <row r="206" spans="1:11" x14ac:dyDescent="0.3">
      <c r="A206" s="7" t="s">
        <v>28</v>
      </c>
      <c r="B206" s="8" t="s">
        <v>26</v>
      </c>
      <c r="C206" s="8" t="s">
        <v>20</v>
      </c>
      <c r="D206" s="8" t="s">
        <v>19</v>
      </c>
      <c r="E206" s="11">
        <v>2729</v>
      </c>
      <c r="F206" s="13">
        <v>250</v>
      </c>
      <c r="G206" s="13">
        <v>125</v>
      </c>
      <c r="H206" s="13">
        <v>341125</v>
      </c>
      <c r="I206" s="13">
        <v>6822.5</v>
      </c>
      <c r="J206" s="13">
        <v>327480</v>
      </c>
      <c r="K206" s="5">
        <v>41974</v>
      </c>
    </row>
    <row r="207" spans="1:11" x14ac:dyDescent="0.3">
      <c r="A207" s="7" t="s">
        <v>28</v>
      </c>
      <c r="B207" s="8" t="s">
        <v>24</v>
      </c>
      <c r="C207" s="8" t="s">
        <v>17</v>
      </c>
      <c r="D207" s="8" t="s">
        <v>22</v>
      </c>
      <c r="E207" s="11">
        <v>2821</v>
      </c>
      <c r="F207" s="13">
        <v>120</v>
      </c>
      <c r="G207" s="13">
        <v>125</v>
      </c>
      <c r="H207" s="13">
        <v>352625</v>
      </c>
      <c r="I207" s="13">
        <v>0</v>
      </c>
      <c r="J207" s="13">
        <v>338520</v>
      </c>
      <c r="K207" s="5">
        <v>41852</v>
      </c>
    </row>
    <row r="208" spans="1:11" x14ac:dyDescent="0.3">
      <c r="A208" s="7" t="s">
        <v>11</v>
      </c>
      <c r="B208" s="8" t="s">
        <v>26</v>
      </c>
      <c r="C208" s="8" t="s">
        <v>27</v>
      </c>
      <c r="D208" s="8" t="s">
        <v>16</v>
      </c>
      <c r="E208" s="11">
        <v>1283</v>
      </c>
      <c r="F208" s="13">
        <v>5</v>
      </c>
      <c r="G208" s="13">
        <v>300</v>
      </c>
      <c r="H208" s="13">
        <v>384900</v>
      </c>
      <c r="I208" s="13">
        <v>30792</v>
      </c>
      <c r="J208" s="13">
        <v>320750</v>
      </c>
      <c r="K208" s="5">
        <v>41518</v>
      </c>
    </row>
    <row r="209" spans="1:11" x14ac:dyDescent="0.3">
      <c r="A209" s="7" t="s">
        <v>15</v>
      </c>
      <c r="B209" s="8" t="s">
        <v>24</v>
      </c>
      <c r="C209" s="8" t="s">
        <v>18</v>
      </c>
      <c r="D209" s="8" t="s">
        <v>14</v>
      </c>
      <c r="E209" s="11">
        <v>1177</v>
      </c>
      <c r="F209" s="13">
        <v>10</v>
      </c>
      <c r="G209" s="13">
        <v>350</v>
      </c>
      <c r="H209" s="13">
        <v>411950</v>
      </c>
      <c r="I209" s="13">
        <v>57673</v>
      </c>
      <c r="J209" s="13">
        <v>306020</v>
      </c>
      <c r="K209" s="5">
        <v>41944</v>
      </c>
    </row>
    <row r="210" spans="1:11" x14ac:dyDescent="0.3">
      <c r="A210" s="7" t="s">
        <v>28</v>
      </c>
      <c r="B210" s="8" t="s">
        <v>24</v>
      </c>
      <c r="C210" s="8" t="s">
        <v>18</v>
      </c>
      <c r="D210" s="8" t="s">
        <v>16</v>
      </c>
      <c r="E210" s="11">
        <v>2992</v>
      </c>
      <c r="F210" s="13">
        <v>10</v>
      </c>
      <c r="G210" s="13">
        <v>125</v>
      </c>
      <c r="H210" s="13">
        <v>374000</v>
      </c>
      <c r="I210" s="13">
        <v>18700</v>
      </c>
      <c r="J210" s="13">
        <v>359040</v>
      </c>
      <c r="K210" s="5">
        <v>41699</v>
      </c>
    </row>
    <row r="211" spans="1:11" x14ac:dyDescent="0.3">
      <c r="A211" s="7" t="s">
        <v>11</v>
      </c>
      <c r="B211" s="8" t="s">
        <v>26</v>
      </c>
      <c r="C211" s="8" t="s">
        <v>18</v>
      </c>
      <c r="D211" s="8" t="s">
        <v>14</v>
      </c>
      <c r="E211" s="11">
        <v>1366</v>
      </c>
      <c r="F211" s="13">
        <v>10</v>
      </c>
      <c r="G211" s="13">
        <v>300</v>
      </c>
      <c r="H211" s="13">
        <v>409800</v>
      </c>
      <c r="I211" s="13">
        <v>45078</v>
      </c>
      <c r="J211" s="13">
        <v>341500</v>
      </c>
      <c r="K211" s="5">
        <v>41944</v>
      </c>
    </row>
    <row r="212" spans="1:11" x14ac:dyDescent="0.3">
      <c r="A212" s="7" t="s">
        <v>15</v>
      </c>
      <c r="B212" s="8" t="s">
        <v>25</v>
      </c>
      <c r="C212" s="8" t="s">
        <v>18</v>
      </c>
      <c r="D212" s="8" t="s">
        <v>14</v>
      </c>
      <c r="E212" s="11">
        <v>1197</v>
      </c>
      <c r="F212" s="13">
        <v>10</v>
      </c>
      <c r="G212" s="13">
        <v>350</v>
      </c>
      <c r="H212" s="13">
        <v>418950</v>
      </c>
      <c r="I212" s="13">
        <v>50274</v>
      </c>
      <c r="J212" s="13">
        <v>311220</v>
      </c>
      <c r="K212" s="5">
        <v>41944</v>
      </c>
    </row>
    <row r="213" spans="1:11" x14ac:dyDescent="0.3">
      <c r="A213" s="7" t="s">
        <v>11</v>
      </c>
      <c r="B213" s="8" t="s">
        <v>24</v>
      </c>
      <c r="C213" s="8" t="s">
        <v>13</v>
      </c>
      <c r="D213" s="8" t="s">
        <v>16</v>
      </c>
      <c r="E213" s="11">
        <v>1372</v>
      </c>
      <c r="F213" s="13">
        <v>260</v>
      </c>
      <c r="G213" s="13">
        <v>300</v>
      </c>
      <c r="H213" s="13">
        <v>411600</v>
      </c>
      <c r="I213" s="13">
        <v>28812</v>
      </c>
      <c r="J213" s="13">
        <v>343000</v>
      </c>
      <c r="K213" s="5">
        <v>41974</v>
      </c>
    </row>
    <row r="214" spans="1:11" x14ac:dyDescent="0.3">
      <c r="A214" s="7" t="s">
        <v>11</v>
      </c>
      <c r="B214" s="8" t="s">
        <v>24</v>
      </c>
      <c r="C214" s="8" t="s">
        <v>17</v>
      </c>
      <c r="D214" s="8" t="s">
        <v>16</v>
      </c>
      <c r="E214" s="11">
        <v>1372</v>
      </c>
      <c r="F214" s="13">
        <v>120</v>
      </c>
      <c r="G214" s="13">
        <v>300</v>
      </c>
      <c r="H214" s="13">
        <v>411600</v>
      </c>
      <c r="I214" s="13">
        <v>28812</v>
      </c>
      <c r="J214" s="13">
        <v>343000</v>
      </c>
      <c r="K214" s="5">
        <v>41974</v>
      </c>
    </row>
    <row r="215" spans="1:11" x14ac:dyDescent="0.3">
      <c r="A215" s="7" t="s">
        <v>11</v>
      </c>
      <c r="B215" s="8" t="s">
        <v>26</v>
      </c>
      <c r="C215" s="8" t="s">
        <v>21</v>
      </c>
      <c r="D215" s="8" t="s">
        <v>14</v>
      </c>
      <c r="E215" s="11">
        <v>1496</v>
      </c>
      <c r="F215" s="13">
        <v>3</v>
      </c>
      <c r="G215" s="13">
        <v>300</v>
      </c>
      <c r="H215" s="13">
        <v>448800</v>
      </c>
      <c r="I215" s="13">
        <v>62832</v>
      </c>
      <c r="J215" s="13">
        <v>374000</v>
      </c>
      <c r="K215" s="5">
        <v>41913</v>
      </c>
    </row>
    <row r="216" spans="1:11" x14ac:dyDescent="0.3">
      <c r="A216" s="7" t="s">
        <v>11</v>
      </c>
      <c r="B216" s="8" t="s">
        <v>26</v>
      </c>
      <c r="C216" s="8" t="s">
        <v>20</v>
      </c>
      <c r="D216" s="8" t="s">
        <v>14</v>
      </c>
      <c r="E216" s="11">
        <v>1496</v>
      </c>
      <c r="F216" s="13">
        <v>250</v>
      </c>
      <c r="G216" s="13">
        <v>300</v>
      </c>
      <c r="H216" s="13">
        <v>448800</v>
      </c>
      <c r="I216" s="13">
        <v>62832</v>
      </c>
      <c r="J216" s="13">
        <v>374000</v>
      </c>
      <c r="K216" s="5">
        <v>41913</v>
      </c>
    </row>
    <row r="217" spans="1:11" x14ac:dyDescent="0.3">
      <c r="A217" s="7" t="s">
        <v>28</v>
      </c>
      <c r="B217" s="8" t="s">
        <v>24</v>
      </c>
      <c r="C217" s="8" t="s">
        <v>21</v>
      </c>
      <c r="D217" s="8" t="s">
        <v>14</v>
      </c>
      <c r="E217" s="11">
        <v>3445.5</v>
      </c>
      <c r="F217" s="13">
        <v>3</v>
      </c>
      <c r="G217" s="13">
        <v>125</v>
      </c>
      <c r="H217" s="13">
        <v>430687.5</v>
      </c>
      <c r="I217" s="13">
        <v>43068.75</v>
      </c>
      <c r="J217" s="13">
        <v>413460</v>
      </c>
      <c r="K217" s="5">
        <v>41730</v>
      </c>
    </row>
    <row r="218" spans="1:11" x14ac:dyDescent="0.3">
      <c r="A218" s="7" t="s">
        <v>11</v>
      </c>
      <c r="B218" s="8" t="s">
        <v>26</v>
      </c>
      <c r="C218" s="8" t="s">
        <v>18</v>
      </c>
      <c r="D218" s="8" t="s">
        <v>16</v>
      </c>
      <c r="E218" s="11">
        <v>1404</v>
      </c>
      <c r="F218" s="13">
        <v>10</v>
      </c>
      <c r="G218" s="13">
        <v>300</v>
      </c>
      <c r="H218" s="13">
        <v>421200</v>
      </c>
      <c r="I218" s="13">
        <v>29484</v>
      </c>
      <c r="J218" s="13">
        <v>351000</v>
      </c>
      <c r="K218" s="5">
        <v>41579</v>
      </c>
    </row>
    <row r="219" spans="1:11" x14ac:dyDescent="0.3">
      <c r="A219" s="7" t="s">
        <v>15</v>
      </c>
      <c r="B219" s="8" t="s">
        <v>26</v>
      </c>
      <c r="C219" s="8" t="s">
        <v>13</v>
      </c>
      <c r="D219" s="8" t="s">
        <v>16</v>
      </c>
      <c r="E219" s="11">
        <v>1269</v>
      </c>
      <c r="F219" s="13">
        <v>260</v>
      </c>
      <c r="G219" s="13">
        <v>350</v>
      </c>
      <c r="H219" s="13">
        <v>444150</v>
      </c>
      <c r="I219" s="13">
        <v>39973.5</v>
      </c>
      <c r="J219" s="13">
        <v>329940</v>
      </c>
      <c r="K219" s="5">
        <v>41913</v>
      </c>
    </row>
    <row r="220" spans="1:11" x14ac:dyDescent="0.3">
      <c r="A220" s="7" t="s">
        <v>15</v>
      </c>
      <c r="B220" s="8" t="s">
        <v>26</v>
      </c>
      <c r="C220" s="8" t="s">
        <v>17</v>
      </c>
      <c r="D220" s="8" t="s">
        <v>16</v>
      </c>
      <c r="E220" s="11">
        <v>1269</v>
      </c>
      <c r="F220" s="13">
        <v>120</v>
      </c>
      <c r="G220" s="13">
        <v>350</v>
      </c>
      <c r="H220" s="13">
        <v>444150</v>
      </c>
      <c r="I220" s="13">
        <v>39973.5</v>
      </c>
      <c r="J220" s="13">
        <v>329940</v>
      </c>
      <c r="K220" s="5">
        <v>41913</v>
      </c>
    </row>
    <row r="221" spans="1:11" x14ac:dyDescent="0.3">
      <c r="A221" s="7" t="s">
        <v>15</v>
      </c>
      <c r="B221" s="8" t="s">
        <v>26</v>
      </c>
      <c r="C221" s="8" t="s">
        <v>13</v>
      </c>
      <c r="D221" s="8" t="s">
        <v>16</v>
      </c>
      <c r="E221" s="11">
        <v>1228</v>
      </c>
      <c r="F221" s="13">
        <v>260</v>
      </c>
      <c r="G221" s="13">
        <v>350</v>
      </c>
      <c r="H221" s="13">
        <v>429800</v>
      </c>
      <c r="I221" s="13">
        <v>21490</v>
      </c>
      <c r="J221" s="13">
        <v>319280</v>
      </c>
      <c r="K221" s="5">
        <v>41548</v>
      </c>
    </row>
    <row r="222" spans="1:11" x14ac:dyDescent="0.3">
      <c r="A222" s="7" t="s">
        <v>15</v>
      </c>
      <c r="B222" s="8" t="s">
        <v>26</v>
      </c>
      <c r="C222" s="8" t="s">
        <v>18</v>
      </c>
      <c r="D222" s="8" t="s">
        <v>16</v>
      </c>
      <c r="E222" s="11">
        <v>1228</v>
      </c>
      <c r="F222" s="13">
        <v>10</v>
      </c>
      <c r="G222" s="13">
        <v>350</v>
      </c>
      <c r="H222" s="13">
        <v>429800</v>
      </c>
      <c r="I222" s="13">
        <v>21490</v>
      </c>
      <c r="J222" s="13">
        <v>319280</v>
      </c>
      <c r="K222" s="5">
        <v>41548</v>
      </c>
    </row>
    <row r="223" spans="1:11" x14ac:dyDescent="0.3">
      <c r="A223" s="7" t="s">
        <v>15</v>
      </c>
      <c r="B223" s="8" t="s">
        <v>25</v>
      </c>
      <c r="C223" s="8" t="s">
        <v>21</v>
      </c>
      <c r="D223" s="8" t="s">
        <v>19</v>
      </c>
      <c r="E223" s="11">
        <v>1210</v>
      </c>
      <c r="F223" s="13">
        <v>3</v>
      </c>
      <c r="G223" s="13">
        <v>350</v>
      </c>
      <c r="H223" s="13">
        <v>423500</v>
      </c>
      <c r="I223" s="13">
        <v>4235</v>
      </c>
      <c r="J223" s="13">
        <v>314600</v>
      </c>
      <c r="K223" s="5">
        <v>41699</v>
      </c>
    </row>
    <row r="224" spans="1:11" x14ac:dyDescent="0.3">
      <c r="A224" s="7" t="s">
        <v>15</v>
      </c>
      <c r="B224" s="8" t="s">
        <v>25</v>
      </c>
      <c r="C224" s="8" t="s">
        <v>17</v>
      </c>
      <c r="D224" s="8" t="s">
        <v>14</v>
      </c>
      <c r="E224" s="11">
        <v>1395</v>
      </c>
      <c r="F224" s="13">
        <v>120</v>
      </c>
      <c r="G224" s="13">
        <v>350</v>
      </c>
      <c r="H224" s="13">
        <v>488250</v>
      </c>
      <c r="I224" s="13">
        <v>58590</v>
      </c>
      <c r="J224" s="13">
        <v>362700</v>
      </c>
      <c r="K224" s="5">
        <v>41821</v>
      </c>
    </row>
    <row r="225" spans="1:11" x14ac:dyDescent="0.3">
      <c r="A225" s="7" t="s">
        <v>15</v>
      </c>
      <c r="B225" s="8" t="s">
        <v>24</v>
      </c>
      <c r="C225" s="8" t="s">
        <v>20</v>
      </c>
      <c r="D225" s="8" t="s">
        <v>16</v>
      </c>
      <c r="E225" s="11">
        <v>1351.5</v>
      </c>
      <c r="F225" s="13">
        <v>250</v>
      </c>
      <c r="G225" s="13">
        <v>350</v>
      </c>
      <c r="H225" s="13">
        <v>473025</v>
      </c>
      <c r="I225" s="13">
        <v>42572.25</v>
      </c>
      <c r="J225" s="13">
        <v>351390</v>
      </c>
      <c r="K225" s="5">
        <v>41730</v>
      </c>
    </row>
    <row r="226" spans="1:11" x14ac:dyDescent="0.3">
      <c r="A226" s="7" t="s">
        <v>28</v>
      </c>
      <c r="B226" s="8" t="s">
        <v>24</v>
      </c>
      <c r="C226" s="8" t="s">
        <v>27</v>
      </c>
      <c r="D226" s="8" t="s">
        <v>16</v>
      </c>
      <c r="E226" s="11">
        <v>3627</v>
      </c>
      <c r="F226" s="13">
        <v>5</v>
      </c>
      <c r="G226" s="13">
        <v>125</v>
      </c>
      <c r="H226" s="13">
        <v>453375</v>
      </c>
      <c r="I226" s="13">
        <v>22668.75</v>
      </c>
      <c r="J226" s="13">
        <v>435240</v>
      </c>
      <c r="K226" s="5">
        <v>41821</v>
      </c>
    </row>
    <row r="227" spans="1:11" x14ac:dyDescent="0.3">
      <c r="A227" s="7" t="s">
        <v>15</v>
      </c>
      <c r="B227" s="8" t="s">
        <v>25</v>
      </c>
      <c r="C227" s="8" t="s">
        <v>21</v>
      </c>
      <c r="D227" s="8" t="s">
        <v>16</v>
      </c>
      <c r="E227" s="11">
        <v>1362</v>
      </c>
      <c r="F227" s="13">
        <v>3</v>
      </c>
      <c r="G227" s="13">
        <v>350</v>
      </c>
      <c r="H227" s="13">
        <v>476700</v>
      </c>
      <c r="I227" s="13">
        <v>38136</v>
      </c>
      <c r="J227" s="13">
        <v>354120</v>
      </c>
      <c r="K227" s="5">
        <v>41974</v>
      </c>
    </row>
    <row r="228" spans="1:11" x14ac:dyDescent="0.3">
      <c r="A228" s="7" t="s">
        <v>15</v>
      </c>
      <c r="B228" s="8" t="s">
        <v>25</v>
      </c>
      <c r="C228" s="8" t="s">
        <v>18</v>
      </c>
      <c r="D228" s="8" t="s">
        <v>16</v>
      </c>
      <c r="E228" s="11">
        <v>1362</v>
      </c>
      <c r="F228" s="13">
        <v>10</v>
      </c>
      <c r="G228" s="13">
        <v>350</v>
      </c>
      <c r="H228" s="13">
        <v>476700</v>
      </c>
      <c r="I228" s="13">
        <v>38136</v>
      </c>
      <c r="J228" s="13">
        <v>354120</v>
      </c>
      <c r="K228" s="5">
        <v>41974</v>
      </c>
    </row>
    <row r="229" spans="1:11" x14ac:dyDescent="0.3">
      <c r="A229" s="7" t="s">
        <v>11</v>
      </c>
      <c r="B229" s="8" t="s">
        <v>25</v>
      </c>
      <c r="C229" s="8" t="s">
        <v>18</v>
      </c>
      <c r="D229" s="8" t="s">
        <v>16</v>
      </c>
      <c r="E229" s="11">
        <v>1607</v>
      </c>
      <c r="F229" s="13">
        <v>10</v>
      </c>
      <c r="G229" s="13">
        <v>300</v>
      </c>
      <c r="H229" s="13">
        <v>482100</v>
      </c>
      <c r="I229" s="13">
        <v>24105</v>
      </c>
      <c r="J229" s="13">
        <v>401750</v>
      </c>
      <c r="K229" s="5">
        <v>41730</v>
      </c>
    </row>
    <row r="230" spans="1:11" x14ac:dyDescent="0.3">
      <c r="A230" s="7" t="s">
        <v>15</v>
      </c>
      <c r="B230" s="8" t="s">
        <v>25</v>
      </c>
      <c r="C230" s="8" t="s">
        <v>21</v>
      </c>
      <c r="D230" s="8" t="s">
        <v>19</v>
      </c>
      <c r="E230" s="11">
        <v>1397</v>
      </c>
      <c r="F230" s="13">
        <v>3</v>
      </c>
      <c r="G230" s="13">
        <v>350</v>
      </c>
      <c r="H230" s="13">
        <v>488950</v>
      </c>
      <c r="I230" s="13">
        <v>4889.5</v>
      </c>
      <c r="J230" s="13">
        <v>363220</v>
      </c>
      <c r="K230" s="5">
        <v>41913</v>
      </c>
    </row>
    <row r="231" spans="1:11" x14ac:dyDescent="0.3">
      <c r="A231" s="7" t="s">
        <v>15</v>
      </c>
      <c r="B231" s="8" t="s">
        <v>25</v>
      </c>
      <c r="C231" s="8" t="s">
        <v>20</v>
      </c>
      <c r="D231" s="8" t="s">
        <v>19</v>
      </c>
      <c r="E231" s="11">
        <v>1397</v>
      </c>
      <c r="F231" s="13">
        <v>250</v>
      </c>
      <c r="G231" s="13">
        <v>350</v>
      </c>
      <c r="H231" s="13">
        <v>488950</v>
      </c>
      <c r="I231" s="13">
        <v>4889.5</v>
      </c>
      <c r="J231" s="13">
        <v>363220</v>
      </c>
      <c r="K231" s="5">
        <v>41913</v>
      </c>
    </row>
    <row r="232" spans="1:11" x14ac:dyDescent="0.3">
      <c r="A232" s="7" t="s">
        <v>15</v>
      </c>
      <c r="B232" s="8" t="s">
        <v>12</v>
      </c>
      <c r="C232" s="8" t="s">
        <v>27</v>
      </c>
      <c r="D232" s="8" t="s">
        <v>14</v>
      </c>
      <c r="E232" s="11">
        <v>293</v>
      </c>
      <c r="F232" s="13">
        <v>5</v>
      </c>
      <c r="G232" s="13">
        <v>7</v>
      </c>
      <c r="H232" s="13">
        <v>2051</v>
      </c>
      <c r="I232" s="13">
        <v>287.14</v>
      </c>
      <c r="J232" s="13">
        <v>1465</v>
      </c>
      <c r="K232" s="5">
        <v>41671</v>
      </c>
    </row>
    <row r="233" spans="1:11" x14ac:dyDescent="0.3">
      <c r="A233" s="7" t="s">
        <v>29</v>
      </c>
      <c r="B233" s="8" t="s">
        <v>12</v>
      </c>
      <c r="C233" s="8" t="s">
        <v>13</v>
      </c>
      <c r="D233" s="8" t="s">
        <v>16</v>
      </c>
      <c r="E233" s="11">
        <v>306</v>
      </c>
      <c r="F233" s="13">
        <v>260</v>
      </c>
      <c r="G233" s="13">
        <v>12</v>
      </c>
      <c r="H233" s="13">
        <v>3672</v>
      </c>
      <c r="I233" s="13">
        <v>330.48</v>
      </c>
      <c r="J233" s="13">
        <v>918</v>
      </c>
      <c r="K233" s="5">
        <v>41609</v>
      </c>
    </row>
    <row r="234" spans="1:11" x14ac:dyDescent="0.3">
      <c r="A234" s="7" t="s">
        <v>15</v>
      </c>
      <c r="B234" s="8" t="s">
        <v>12</v>
      </c>
      <c r="C234" s="8" t="s">
        <v>27</v>
      </c>
      <c r="D234" s="8" t="s">
        <v>19</v>
      </c>
      <c r="E234" s="11">
        <v>544</v>
      </c>
      <c r="F234" s="13">
        <v>5</v>
      </c>
      <c r="G234" s="13">
        <v>7</v>
      </c>
      <c r="H234" s="13">
        <v>3808</v>
      </c>
      <c r="I234" s="13">
        <v>114.24</v>
      </c>
      <c r="J234" s="13">
        <v>2720</v>
      </c>
      <c r="K234" s="5">
        <v>41883</v>
      </c>
    </row>
    <row r="235" spans="1:11" x14ac:dyDescent="0.3">
      <c r="A235" s="7" t="s">
        <v>15</v>
      </c>
      <c r="B235" s="8" t="s">
        <v>12</v>
      </c>
      <c r="C235" s="8" t="s">
        <v>17</v>
      </c>
      <c r="D235" s="8" t="s">
        <v>19</v>
      </c>
      <c r="E235" s="11">
        <v>639</v>
      </c>
      <c r="F235" s="13">
        <v>120</v>
      </c>
      <c r="G235" s="13">
        <v>7</v>
      </c>
      <c r="H235" s="13">
        <v>4473</v>
      </c>
      <c r="I235" s="13">
        <v>44.73</v>
      </c>
      <c r="J235" s="13">
        <v>3195</v>
      </c>
      <c r="K235" s="5">
        <v>41944</v>
      </c>
    </row>
    <row r="236" spans="1:11" x14ac:dyDescent="0.3">
      <c r="A236" s="7" t="s">
        <v>30</v>
      </c>
      <c r="B236" s="8" t="s">
        <v>12</v>
      </c>
      <c r="C236" s="8" t="s">
        <v>13</v>
      </c>
      <c r="D236" s="8" t="s">
        <v>19</v>
      </c>
      <c r="E236" s="11">
        <v>321</v>
      </c>
      <c r="F236" s="13">
        <v>260</v>
      </c>
      <c r="G236" s="13">
        <v>15</v>
      </c>
      <c r="H236" s="13">
        <v>4815</v>
      </c>
      <c r="I236" s="13">
        <v>48.15</v>
      </c>
      <c r="J236" s="13">
        <v>3210</v>
      </c>
      <c r="K236" s="5">
        <v>41579</v>
      </c>
    </row>
    <row r="237" spans="1:11" x14ac:dyDescent="0.3">
      <c r="A237" s="7" t="s">
        <v>15</v>
      </c>
      <c r="B237" s="8" t="s">
        <v>12</v>
      </c>
      <c r="C237" s="8" t="s">
        <v>18</v>
      </c>
      <c r="D237" s="8" t="s">
        <v>14</v>
      </c>
      <c r="E237" s="11">
        <v>293</v>
      </c>
      <c r="F237" s="13">
        <v>10</v>
      </c>
      <c r="G237" s="13">
        <v>20</v>
      </c>
      <c r="H237" s="13">
        <v>5860</v>
      </c>
      <c r="I237" s="13">
        <v>879</v>
      </c>
      <c r="J237" s="13">
        <v>2930</v>
      </c>
      <c r="K237" s="5">
        <v>41974</v>
      </c>
    </row>
    <row r="238" spans="1:11" x14ac:dyDescent="0.3">
      <c r="A238" s="7" t="s">
        <v>15</v>
      </c>
      <c r="B238" s="8" t="s">
        <v>12</v>
      </c>
      <c r="C238" s="8" t="s">
        <v>20</v>
      </c>
      <c r="D238" s="8" t="s">
        <v>14</v>
      </c>
      <c r="E238" s="11">
        <v>293</v>
      </c>
      <c r="F238" s="13">
        <v>250</v>
      </c>
      <c r="G238" s="13">
        <v>20</v>
      </c>
      <c r="H238" s="13">
        <v>5860</v>
      </c>
      <c r="I238" s="13">
        <v>879</v>
      </c>
      <c r="J238" s="13">
        <v>2930</v>
      </c>
      <c r="K238" s="5">
        <v>41974</v>
      </c>
    </row>
    <row r="239" spans="1:11" x14ac:dyDescent="0.3">
      <c r="A239" s="7" t="s">
        <v>15</v>
      </c>
      <c r="B239" s="8" t="s">
        <v>23</v>
      </c>
      <c r="C239" s="8" t="s">
        <v>21</v>
      </c>
      <c r="D239" s="8" t="s">
        <v>14</v>
      </c>
      <c r="E239" s="11">
        <v>280</v>
      </c>
      <c r="F239" s="13">
        <v>3</v>
      </c>
      <c r="G239" s="13">
        <v>7</v>
      </c>
      <c r="H239" s="13">
        <v>1960</v>
      </c>
      <c r="I239" s="13">
        <v>274.39999999999998</v>
      </c>
      <c r="J239" s="13">
        <v>1400</v>
      </c>
      <c r="K239" s="5">
        <v>41974</v>
      </c>
    </row>
    <row r="240" spans="1:11" x14ac:dyDescent="0.3">
      <c r="A240" s="7" t="s">
        <v>15</v>
      </c>
      <c r="B240" s="8" t="s">
        <v>23</v>
      </c>
      <c r="C240" s="8" t="s">
        <v>20</v>
      </c>
      <c r="D240" s="8" t="s">
        <v>14</v>
      </c>
      <c r="E240" s="11">
        <v>280</v>
      </c>
      <c r="F240" s="13">
        <v>250</v>
      </c>
      <c r="G240" s="13">
        <v>7</v>
      </c>
      <c r="H240" s="13">
        <v>1960</v>
      </c>
      <c r="I240" s="13">
        <v>274.39999999999998</v>
      </c>
      <c r="J240" s="13">
        <v>1400</v>
      </c>
      <c r="K240" s="5">
        <v>41974</v>
      </c>
    </row>
    <row r="241" spans="1:11" x14ac:dyDescent="0.3">
      <c r="A241" s="7" t="s">
        <v>15</v>
      </c>
      <c r="B241" s="8" t="s">
        <v>23</v>
      </c>
      <c r="C241" s="8" t="s">
        <v>20</v>
      </c>
      <c r="D241" s="8" t="s">
        <v>19</v>
      </c>
      <c r="E241" s="11">
        <v>263</v>
      </c>
      <c r="F241" s="13">
        <v>250</v>
      </c>
      <c r="G241" s="13">
        <v>7</v>
      </c>
      <c r="H241" s="13">
        <v>1841</v>
      </c>
      <c r="I241" s="13">
        <v>18.41</v>
      </c>
      <c r="J241" s="13">
        <v>1315</v>
      </c>
      <c r="K241" s="5">
        <v>41699</v>
      </c>
    </row>
    <row r="242" spans="1:11" x14ac:dyDescent="0.3">
      <c r="A242" s="7" t="s">
        <v>15</v>
      </c>
      <c r="B242" s="8" t="s">
        <v>23</v>
      </c>
      <c r="C242" s="8" t="s">
        <v>18</v>
      </c>
      <c r="D242" s="8" t="s">
        <v>16</v>
      </c>
      <c r="E242" s="11">
        <v>360</v>
      </c>
      <c r="F242" s="13">
        <v>10</v>
      </c>
      <c r="G242" s="13">
        <v>7</v>
      </c>
      <c r="H242" s="13">
        <v>2520</v>
      </c>
      <c r="I242" s="13">
        <v>226.8</v>
      </c>
      <c r="J242" s="13">
        <v>1800</v>
      </c>
      <c r="K242" s="5">
        <v>41913</v>
      </c>
    </row>
    <row r="243" spans="1:11" x14ac:dyDescent="0.3">
      <c r="A243" s="7" t="s">
        <v>15</v>
      </c>
      <c r="B243" s="8" t="s">
        <v>23</v>
      </c>
      <c r="C243" s="8" t="s">
        <v>20</v>
      </c>
      <c r="D243" s="8" t="s">
        <v>16</v>
      </c>
      <c r="E243" s="11">
        <v>360</v>
      </c>
      <c r="F243" s="13">
        <v>250</v>
      </c>
      <c r="G243" s="13">
        <v>7</v>
      </c>
      <c r="H243" s="13">
        <v>2520</v>
      </c>
      <c r="I243" s="13">
        <v>226.8</v>
      </c>
      <c r="J243" s="13">
        <v>1800</v>
      </c>
      <c r="K243" s="5">
        <v>41913</v>
      </c>
    </row>
    <row r="244" spans="1:11" x14ac:dyDescent="0.3">
      <c r="A244" s="7" t="s">
        <v>30</v>
      </c>
      <c r="B244" s="8" t="s">
        <v>23</v>
      </c>
      <c r="C244" s="8" t="s">
        <v>18</v>
      </c>
      <c r="D244" s="8" t="s">
        <v>14</v>
      </c>
      <c r="E244" s="11">
        <v>278</v>
      </c>
      <c r="F244" s="13">
        <v>10</v>
      </c>
      <c r="G244" s="13">
        <v>15</v>
      </c>
      <c r="H244" s="13">
        <v>4170</v>
      </c>
      <c r="I244" s="13">
        <v>583.79999999999995</v>
      </c>
      <c r="J244" s="13">
        <v>2780</v>
      </c>
      <c r="K244" s="5">
        <v>41671</v>
      </c>
    </row>
    <row r="245" spans="1:11" x14ac:dyDescent="0.3">
      <c r="A245" s="7" t="s">
        <v>15</v>
      </c>
      <c r="B245" s="8" t="s">
        <v>23</v>
      </c>
      <c r="C245" s="8" t="s">
        <v>18</v>
      </c>
      <c r="D245" s="8" t="s">
        <v>14</v>
      </c>
      <c r="E245" s="11">
        <v>241</v>
      </c>
      <c r="F245" s="13">
        <v>10</v>
      </c>
      <c r="G245" s="13">
        <v>20</v>
      </c>
      <c r="H245" s="13">
        <v>4820</v>
      </c>
      <c r="I245" s="13">
        <v>482</v>
      </c>
      <c r="J245" s="13">
        <v>2410</v>
      </c>
      <c r="K245" s="5">
        <v>41913</v>
      </c>
    </row>
    <row r="246" spans="1:11" x14ac:dyDescent="0.3">
      <c r="A246" s="7" t="s">
        <v>15</v>
      </c>
      <c r="B246" s="8" t="s">
        <v>23</v>
      </c>
      <c r="C246" s="8" t="s">
        <v>17</v>
      </c>
      <c r="D246" s="8" t="s">
        <v>14</v>
      </c>
      <c r="E246" s="11">
        <v>241</v>
      </c>
      <c r="F246" s="13">
        <v>120</v>
      </c>
      <c r="G246" s="13">
        <v>20</v>
      </c>
      <c r="H246" s="13">
        <v>4820</v>
      </c>
      <c r="I246" s="13">
        <v>482</v>
      </c>
      <c r="J246" s="13">
        <v>2410</v>
      </c>
      <c r="K246" s="5">
        <v>41913</v>
      </c>
    </row>
    <row r="247" spans="1:11" x14ac:dyDescent="0.3">
      <c r="A247" s="7" t="s">
        <v>29</v>
      </c>
      <c r="B247" s="8" t="s">
        <v>23</v>
      </c>
      <c r="C247" s="8" t="s">
        <v>18</v>
      </c>
      <c r="D247" s="8" t="s">
        <v>22</v>
      </c>
      <c r="E247" s="11">
        <v>367</v>
      </c>
      <c r="F247" s="13">
        <v>10</v>
      </c>
      <c r="G247" s="13">
        <v>12</v>
      </c>
      <c r="H247" s="13">
        <v>4404</v>
      </c>
      <c r="I247" s="13">
        <v>0</v>
      </c>
      <c r="J247" s="13">
        <v>1101</v>
      </c>
      <c r="K247" s="5">
        <v>41821</v>
      </c>
    </row>
    <row r="248" spans="1:11" x14ac:dyDescent="0.3">
      <c r="A248" s="7" t="s">
        <v>29</v>
      </c>
      <c r="B248" s="8" t="s">
        <v>23</v>
      </c>
      <c r="C248" s="8" t="s">
        <v>13</v>
      </c>
      <c r="D248" s="8" t="s">
        <v>14</v>
      </c>
      <c r="E248" s="11">
        <v>472</v>
      </c>
      <c r="F248" s="13">
        <v>260</v>
      </c>
      <c r="G248" s="13">
        <v>12</v>
      </c>
      <c r="H248" s="13">
        <v>5664</v>
      </c>
      <c r="I248" s="13">
        <v>623.04</v>
      </c>
      <c r="J248" s="13">
        <v>1416</v>
      </c>
      <c r="K248" s="5">
        <v>41913</v>
      </c>
    </row>
    <row r="249" spans="1:11" x14ac:dyDescent="0.3">
      <c r="A249" s="7" t="s">
        <v>29</v>
      </c>
      <c r="B249" s="8" t="s">
        <v>23</v>
      </c>
      <c r="C249" s="8" t="s">
        <v>17</v>
      </c>
      <c r="D249" s="8" t="s">
        <v>14</v>
      </c>
      <c r="E249" s="11">
        <v>472</v>
      </c>
      <c r="F249" s="13">
        <v>120</v>
      </c>
      <c r="G249" s="13">
        <v>12</v>
      </c>
      <c r="H249" s="13">
        <v>5664</v>
      </c>
      <c r="I249" s="13">
        <v>623.04</v>
      </c>
      <c r="J249" s="13">
        <v>1416</v>
      </c>
      <c r="K249" s="5">
        <v>41913</v>
      </c>
    </row>
    <row r="250" spans="1:11" x14ac:dyDescent="0.3">
      <c r="A250" s="7" t="s">
        <v>15</v>
      </c>
      <c r="B250" s="8" t="s">
        <v>26</v>
      </c>
      <c r="C250" s="8" t="s">
        <v>18</v>
      </c>
      <c r="D250" s="8" t="s">
        <v>16</v>
      </c>
      <c r="E250" s="11">
        <v>257</v>
      </c>
      <c r="F250" s="13">
        <v>10</v>
      </c>
      <c r="G250" s="13">
        <v>7</v>
      </c>
      <c r="H250" s="13">
        <v>1799</v>
      </c>
      <c r="I250" s="13">
        <v>143.91999999999999</v>
      </c>
      <c r="J250" s="13">
        <v>1285</v>
      </c>
      <c r="K250" s="5">
        <v>41760</v>
      </c>
    </row>
    <row r="251" spans="1:11" x14ac:dyDescent="0.3">
      <c r="A251" s="7" t="s">
        <v>15</v>
      </c>
      <c r="B251" s="8" t="s">
        <v>24</v>
      </c>
      <c r="C251" s="8" t="s">
        <v>21</v>
      </c>
      <c r="D251" s="8" t="s">
        <v>16</v>
      </c>
      <c r="E251" s="11">
        <v>263</v>
      </c>
      <c r="F251" s="13">
        <v>3</v>
      </c>
      <c r="G251" s="13">
        <v>7</v>
      </c>
      <c r="H251" s="13">
        <v>1841</v>
      </c>
      <c r="I251" s="13">
        <v>110.46</v>
      </c>
      <c r="J251" s="13">
        <v>1315</v>
      </c>
      <c r="K251" s="5">
        <v>41579</v>
      </c>
    </row>
    <row r="252" spans="1:11" x14ac:dyDescent="0.3">
      <c r="A252" s="7" t="s">
        <v>15</v>
      </c>
      <c r="B252" s="8" t="s">
        <v>26</v>
      </c>
      <c r="C252" s="8" t="s">
        <v>27</v>
      </c>
      <c r="D252" s="8" t="s">
        <v>14</v>
      </c>
      <c r="E252" s="11">
        <v>388</v>
      </c>
      <c r="F252" s="13">
        <v>5</v>
      </c>
      <c r="G252" s="13">
        <v>7</v>
      </c>
      <c r="H252" s="13">
        <v>2716</v>
      </c>
      <c r="I252" s="13">
        <v>380.24</v>
      </c>
      <c r="J252" s="13">
        <v>1940</v>
      </c>
      <c r="K252" s="5">
        <v>41883</v>
      </c>
    </row>
    <row r="253" spans="1:11" x14ac:dyDescent="0.3">
      <c r="A253" s="7" t="s">
        <v>15</v>
      </c>
      <c r="B253" s="8" t="s">
        <v>24</v>
      </c>
      <c r="C253" s="8" t="s">
        <v>18</v>
      </c>
      <c r="D253" s="8" t="s">
        <v>14</v>
      </c>
      <c r="E253" s="11">
        <v>380</v>
      </c>
      <c r="F253" s="13">
        <v>10</v>
      </c>
      <c r="G253" s="13">
        <v>7</v>
      </c>
      <c r="H253" s="13">
        <v>2660</v>
      </c>
      <c r="I253" s="13">
        <v>292.60000000000002</v>
      </c>
      <c r="J253" s="13">
        <v>1900</v>
      </c>
      <c r="K253" s="5">
        <v>41518</v>
      </c>
    </row>
    <row r="254" spans="1:11" x14ac:dyDescent="0.3">
      <c r="A254" s="7" t="s">
        <v>15</v>
      </c>
      <c r="B254" s="8" t="s">
        <v>25</v>
      </c>
      <c r="C254" s="8" t="s">
        <v>17</v>
      </c>
      <c r="D254" s="8" t="s">
        <v>19</v>
      </c>
      <c r="E254" s="11">
        <v>362</v>
      </c>
      <c r="F254" s="13">
        <v>120</v>
      </c>
      <c r="G254" s="13">
        <v>7</v>
      </c>
      <c r="H254" s="13">
        <v>2534</v>
      </c>
      <c r="I254" s="13">
        <v>25.34</v>
      </c>
      <c r="J254" s="13">
        <v>1810</v>
      </c>
      <c r="K254" s="5">
        <v>41760</v>
      </c>
    </row>
    <row r="255" spans="1:11" x14ac:dyDescent="0.3">
      <c r="A255" s="7" t="s">
        <v>30</v>
      </c>
      <c r="B255" s="8" t="s">
        <v>26</v>
      </c>
      <c r="C255" s="8" t="s">
        <v>18</v>
      </c>
      <c r="D255" s="8" t="s">
        <v>19</v>
      </c>
      <c r="E255" s="11">
        <v>218</v>
      </c>
      <c r="F255" s="13">
        <v>10</v>
      </c>
      <c r="G255" s="13">
        <v>15</v>
      </c>
      <c r="H255" s="13">
        <v>3270</v>
      </c>
      <c r="I255" s="13">
        <v>130.80000000000001</v>
      </c>
      <c r="J255" s="13">
        <v>2180</v>
      </c>
      <c r="K255" s="5">
        <v>41883</v>
      </c>
    </row>
    <row r="256" spans="1:11" x14ac:dyDescent="0.3">
      <c r="A256" s="7" t="s">
        <v>15</v>
      </c>
      <c r="B256" s="8" t="s">
        <v>26</v>
      </c>
      <c r="C256" s="8" t="s">
        <v>27</v>
      </c>
      <c r="D256" s="8" t="s">
        <v>16</v>
      </c>
      <c r="E256" s="11">
        <v>488</v>
      </c>
      <c r="F256" s="13">
        <v>5</v>
      </c>
      <c r="G256" s="13">
        <v>7</v>
      </c>
      <c r="H256" s="13">
        <v>3416</v>
      </c>
      <c r="I256" s="13">
        <v>273.27999999999997</v>
      </c>
      <c r="J256" s="13">
        <v>2440</v>
      </c>
      <c r="K256" s="5">
        <v>41671</v>
      </c>
    </row>
    <row r="257" spans="1:11" x14ac:dyDescent="0.3">
      <c r="A257" s="7" t="s">
        <v>15</v>
      </c>
      <c r="B257" s="8" t="s">
        <v>25</v>
      </c>
      <c r="C257" s="8" t="s">
        <v>21</v>
      </c>
      <c r="D257" s="8" t="s">
        <v>16</v>
      </c>
      <c r="E257" s="11">
        <v>521</v>
      </c>
      <c r="F257" s="13">
        <v>3</v>
      </c>
      <c r="G257" s="13">
        <v>7</v>
      </c>
      <c r="H257" s="13">
        <v>3647</v>
      </c>
      <c r="I257" s="13">
        <v>328.23</v>
      </c>
      <c r="J257" s="13">
        <v>2605</v>
      </c>
      <c r="K257" s="5">
        <v>41974</v>
      </c>
    </row>
    <row r="258" spans="1:11" x14ac:dyDescent="0.3">
      <c r="A258" s="7" t="s">
        <v>15</v>
      </c>
      <c r="B258" s="8" t="s">
        <v>25</v>
      </c>
      <c r="C258" s="8" t="s">
        <v>20</v>
      </c>
      <c r="D258" s="8" t="s">
        <v>16</v>
      </c>
      <c r="E258" s="11">
        <v>521</v>
      </c>
      <c r="F258" s="13">
        <v>250</v>
      </c>
      <c r="G258" s="13">
        <v>7</v>
      </c>
      <c r="H258" s="13">
        <v>3647</v>
      </c>
      <c r="I258" s="13">
        <v>328.23</v>
      </c>
      <c r="J258" s="13">
        <v>2605</v>
      </c>
      <c r="K258" s="5">
        <v>41974</v>
      </c>
    </row>
    <row r="259" spans="1:11" x14ac:dyDescent="0.3">
      <c r="A259" s="7" t="s">
        <v>30</v>
      </c>
      <c r="B259" s="8" t="s">
        <v>25</v>
      </c>
      <c r="C259" s="8" t="s">
        <v>17</v>
      </c>
      <c r="D259" s="8" t="s">
        <v>16</v>
      </c>
      <c r="E259" s="11">
        <v>245</v>
      </c>
      <c r="F259" s="13">
        <v>120</v>
      </c>
      <c r="G259" s="13">
        <v>15</v>
      </c>
      <c r="H259" s="13">
        <v>3675</v>
      </c>
      <c r="I259" s="13">
        <v>330.75</v>
      </c>
      <c r="J259" s="13">
        <v>2450</v>
      </c>
      <c r="K259" s="5">
        <v>41760</v>
      </c>
    </row>
    <row r="260" spans="1:11" x14ac:dyDescent="0.3">
      <c r="A260" s="7" t="s">
        <v>15</v>
      </c>
      <c r="B260" s="8" t="s">
        <v>24</v>
      </c>
      <c r="C260" s="8" t="s">
        <v>17</v>
      </c>
      <c r="D260" s="8" t="s">
        <v>16</v>
      </c>
      <c r="E260" s="11">
        <v>547</v>
      </c>
      <c r="F260" s="13">
        <v>120</v>
      </c>
      <c r="G260" s="13">
        <v>7</v>
      </c>
      <c r="H260" s="13">
        <v>3829</v>
      </c>
      <c r="I260" s="13">
        <v>268.02999999999997</v>
      </c>
      <c r="J260" s="13">
        <v>2735</v>
      </c>
      <c r="K260" s="5">
        <v>41944</v>
      </c>
    </row>
    <row r="261" spans="1:11" x14ac:dyDescent="0.3">
      <c r="A261" s="7" t="s">
        <v>15</v>
      </c>
      <c r="B261" s="8" t="s">
        <v>24</v>
      </c>
      <c r="C261" s="8" t="s">
        <v>21</v>
      </c>
      <c r="D261" s="8" t="s">
        <v>16</v>
      </c>
      <c r="E261" s="11">
        <v>570</v>
      </c>
      <c r="F261" s="13">
        <v>3</v>
      </c>
      <c r="G261" s="13">
        <v>7</v>
      </c>
      <c r="H261" s="13">
        <v>3990</v>
      </c>
      <c r="I261" s="13">
        <v>199.5</v>
      </c>
      <c r="J261" s="13">
        <v>2850</v>
      </c>
      <c r="K261" s="5">
        <v>41974</v>
      </c>
    </row>
    <row r="262" spans="1:11" x14ac:dyDescent="0.3">
      <c r="A262" s="7" t="s">
        <v>15</v>
      </c>
      <c r="B262" s="8" t="s">
        <v>24</v>
      </c>
      <c r="C262" s="8" t="s">
        <v>20</v>
      </c>
      <c r="D262" s="8" t="s">
        <v>16</v>
      </c>
      <c r="E262" s="11">
        <v>570</v>
      </c>
      <c r="F262" s="13">
        <v>250</v>
      </c>
      <c r="G262" s="13">
        <v>7</v>
      </c>
      <c r="H262" s="13">
        <v>3990</v>
      </c>
      <c r="I262" s="13">
        <v>199.5</v>
      </c>
      <c r="J262" s="13">
        <v>2850</v>
      </c>
      <c r="K262" s="5">
        <v>41974</v>
      </c>
    </row>
    <row r="263" spans="1:11" x14ac:dyDescent="0.3">
      <c r="A263" s="7" t="s">
        <v>29</v>
      </c>
      <c r="B263" s="8" t="s">
        <v>25</v>
      </c>
      <c r="C263" s="8" t="s">
        <v>21</v>
      </c>
      <c r="D263" s="8" t="s">
        <v>16</v>
      </c>
      <c r="E263" s="11">
        <v>367</v>
      </c>
      <c r="F263" s="13">
        <v>3</v>
      </c>
      <c r="G263" s="13">
        <v>12</v>
      </c>
      <c r="H263" s="13">
        <v>4404</v>
      </c>
      <c r="I263" s="13">
        <v>396.36</v>
      </c>
      <c r="J263" s="13">
        <v>1101</v>
      </c>
      <c r="K263" s="5">
        <v>41548</v>
      </c>
    </row>
    <row r="264" spans="1:11" x14ac:dyDescent="0.3">
      <c r="A264" s="7" t="s">
        <v>29</v>
      </c>
      <c r="B264" s="8" t="s">
        <v>25</v>
      </c>
      <c r="C264" s="8" t="s">
        <v>18</v>
      </c>
      <c r="D264" s="8" t="s">
        <v>16</v>
      </c>
      <c r="E264" s="11">
        <v>367</v>
      </c>
      <c r="F264" s="13">
        <v>10</v>
      </c>
      <c r="G264" s="13">
        <v>12</v>
      </c>
      <c r="H264" s="13">
        <v>4404</v>
      </c>
      <c r="I264" s="13">
        <v>396.36</v>
      </c>
      <c r="J264" s="13">
        <v>1101</v>
      </c>
      <c r="K264" s="5">
        <v>41548</v>
      </c>
    </row>
    <row r="265" spans="1:11" x14ac:dyDescent="0.3">
      <c r="A265" s="7" t="s">
        <v>29</v>
      </c>
      <c r="B265" s="8" t="s">
        <v>24</v>
      </c>
      <c r="C265" s="8" t="s">
        <v>21</v>
      </c>
      <c r="D265" s="8" t="s">
        <v>14</v>
      </c>
      <c r="E265" s="11">
        <v>386</v>
      </c>
      <c r="F265" s="13">
        <v>3</v>
      </c>
      <c r="G265" s="13">
        <v>12</v>
      </c>
      <c r="H265" s="13">
        <v>4632</v>
      </c>
      <c r="I265" s="13">
        <v>463.2</v>
      </c>
      <c r="J265" s="13">
        <v>1158</v>
      </c>
      <c r="K265" s="5">
        <v>41548</v>
      </c>
    </row>
    <row r="266" spans="1:11" x14ac:dyDescent="0.3">
      <c r="A266" s="7" t="s">
        <v>29</v>
      </c>
      <c r="B266" s="8" t="s">
        <v>24</v>
      </c>
      <c r="C266" s="8" t="s">
        <v>18</v>
      </c>
      <c r="D266" s="8" t="s">
        <v>14</v>
      </c>
      <c r="E266" s="11">
        <v>386</v>
      </c>
      <c r="F266" s="13">
        <v>10</v>
      </c>
      <c r="G266" s="13">
        <v>12</v>
      </c>
      <c r="H266" s="13">
        <v>4632</v>
      </c>
      <c r="I266" s="13">
        <v>463.2</v>
      </c>
      <c r="J266" s="13">
        <v>1158</v>
      </c>
      <c r="K266" s="5">
        <v>41548</v>
      </c>
    </row>
    <row r="267" spans="1:11" x14ac:dyDescent="0.3">
      <c r="A267" s="7" t="s">
        <v>29</v>
      </c>
      <c r="B267" s="8" t="s">
        <v>25</v>
      </c>
      <c r="C267" s="8" t="s">
        <v>13</v>
      </c>
      <c r="D267" s="8" t="s">
        <v>14</v>
      </c>
      <c r="E267" s="11">
        <v>410</v>
      </c>
      <c r="F267" s="13">
        <v>260</v>
      </c>
      <c r="G267" s="13">
        <v>12</v>
      </c>
      <c r="H267" s="13">
        <v>4920</v>
      </c>
      <c r="I267" s="13">
        <v>639.6</v>
      </c>
      <c r="J267" s="13">
        <v>1230</v>
      </c>
      <c r="K267" s="5">
        <v>41913</v>
      </c>
    </row>
    <row r="268" spans="1:11" x14ac:dyDescent="0.3">
      <c r="A268" s="7" t="s">
        <v>29</v>
      </c>
      <c r="B268" s="8" t="s">
        <v>25</v>
      </c>
      <c r="C268" s="8" t="s">
        <v>17</v>
      </c>
      <c r="D268" s="8" t="s">
        <v>14</v>
      </c>
      <c r="E268" s="11">
        <v>410</v>
      </c>
      <c r="F268" s="13">
        <v>120</v>
      </c>
      <c r="G268" s="13">
        <v>12</v>
      </c>
      <c r="H268" s="13">
        <v>4920</v>
      </c>
      <c r="I268" s="13">
        <v>639.6</v>
      </c>
      <c r="J268" s="13">
        <v>1230</v>
      </c>
      <c r="K268" s="5">
        <v>41913</v>
      </c>
    </row>
    <row r="269" spans="1:11" x14ac:dyDescent="0.3">
      <c r="A269" s="7" t="s">
        <v>15</v>
      </c>
      <c r="B269" s="8" t="s">
        <v>26</v>
      </c>
      <c r="C269" s="8" t="s">
        <v>18</v>
      </c>
      <c r="D269" s="8" t="s">
        <v>14</v>
      </c>
      <c r="E269" s="11">
        <v>723</v>
      </c>
      <c r="F269" s="13">
        <v>10</v>
      </c>
      <c r="G269" s="13">
        <v>7</v>
      </c>
      <c r="H269" s="13">
        <v>5061</v>
      </c>
      <c r="I269" s="13">
        <v>759.15000000000009</v>
      </c>
      <c r="J269" s="13">
        <v>3615</v>
      </c>
      <c r="K269" s="5">
        <v>41730</v>
      </c>
    </row>
    <row r="270" spans="1:11" x14ac:dyDescent="0.3">
      <c r="A270" s="7" t="s">
        <v>15</v>
      </c>
      <c r="B270" s="8" t="s">
        <v>24</v>
      </c>
      <c r="C270" s="8" t="s">
        <v>18</v>
      </c>
      <c r="D270" s="8" t="s">
        <v>16</v>
      </c>
      <c r="E270" s="11">
        <v>678</v>
      </c>
      <c r="F270" s="13">
        <v>10</v>
      </c>
      <c r="G270" s="13">
        <v>7</v>
      </c>
      <c r="H270" s="13">
        <v>4746</v>
      </c>
      <c r="I270" s="13">
        <v>379.68</v>
      </c>
      <c r="J270" s="13">
        <v>3390</v>
      </c>
      <c r="K270" s="5">
        <v>41852</v>
      </c>
    </row>
    <row r="271" spans="1:11" x14ac:dyDescent="0.3">
      <c r="A271" s="7" t="s">
        <v>15</v>
      </c>
      <c r="B271" s="8" t="s">
        <v>25</v>
      </c>
      <c r="C271" s="8" t="s">
        <v>18</v>
      </c>
      <c r="D271" s="8" t="s">
        <v>14</v>
      </c>
      <c r="E271" s="11">
        <v>260</v>
      </c>
      <c r="F271" s="13">
        <v>10</v>
      </c>
      <c r="G271" s="13">
        <v>20</v>
      </c>
      <c r="H271" s="13">
        <v>5200</v>
      </c>
      <c r="I271" s="13">
        <v>728</v>
      </c>
      <c r="J271" s="13">
        <v>2600</v>
      </c>
      <c r="K271" s="5">
        <v>41671</v>
      </c>
    </row>
    <row r="272" spans="1:11" x14ac:dyDescent="0.3">
      <c r="A272" s="7" t="s">
        <v>15</v>
      </c>
      <c r="B272" s="8" t="s">
        <v>24</v>
      </c>
      <c r="C272" s="8" t="s">
        <v>18</v>
      </c>
      <c r="D272" s="8" t="s">
        <v>14</v>
      </c>
      <c r="E272" s="11">
        <v>267</v>
      </c>
      <c r="F272" s="13">
        <v>10</v>
      </c>
      <c r="G272" s="13">
        <v>20</v>
      </c>
      <c r="H272" s="13">
        <v>5340</v>
      </c>
      <c r="I272" s="13">
        <v>801</v>
      </c>
      <c r="J272" s="13">
        <v>2670</v>
      </c>
      <c r="K272" s="5">
        <v>41548</v>
      </c>
    </row>
    <row r="273" spans="1:11" x14ac:dyDescent="0.3">
      <c r="A273" s="7" t="s">
        <v>15</v>
      </c>
      <c r="B273" s="8" t="s">
        <v>24</v>
      </c>
      <c r="C273" s="8" t="s">
        <v>20</v>
      </c>
      <c r="D273" s="8" t="s">
        <v>14</v>
      </c>
      <c r="E273" s="11">
        <v>267</v>
      </c>
      <c r="F273" s="13">
        <v>250</v>
      </c>
      <c r="G273" s="13">
        <v>20</v>
      </c>
      <c r="H273" s="13">
        <v>5340</v>
      </c>
      <c r="I273" s="13">
        <v>801</v>
      </c>
      <c r="J273" s="13">
        <v>2670</v>
      </c>
      <c r="K273" s="5">
        <v>41548</v>
      </c>
    </row>
    <row r="274" spans="1:11" x14ac:dyDescent="0.3">
      <c r="A274" s="7" t="s">
        <v>30</v>
      </c>
      <c r="B274" s="8" t="s">
        <v>25</v>
      </c>
      <c r="C274" s="8" t="s">
        <v>18</v>
      </c>
      <c r="D274" s="8" t="s">
        <v>14</v>
      </c>
      <c r="E274" s="11">
        <v>380</v>
      </c>
      <c r="F274" s="13">
        <v>10</v>
      </c>
      <c r="G274" s="13">
        <v>15</v>
      </c>
      <c r="H274" s="13">
        <v>5700</v>
      </c>
      <c r="I274" s="13">
        <v>684</v>
      </c>
      <c r="J274" s="13">
        <v>3800</v>
      </c>
      <c r="K274" s="5">
        <v>41609</v>
      </c>
    </row>
    <row r="275" spans="1:11" x14ac:dyDescent="0.3">
      <c r="A275" s="7" t="s">
        <v>29</v>
      </c>
      <c r="B275" s="8" t="s">
        <v>25</v>
      </c>
      <c r="C275" s="8" t="s">
        <v>17</v>
      </c>
      <c r="D275" s="8" t="s">
        <v>14</v>
      </c>
      <c r="E275" s="11">
        <v>500</v>
      </c>
      <c r="F275" s="13">
        <v>120</v>
      </c>
      <c r="G275" s="13">
        <v>12</v>
      </c>
      <c r="H275" s="13">
        <v>6000</v>
      </c>
      <c r="I275" s="13">
        <v>900</v>
      </c>
      <c r="J275" s="13">
        <v>1500</v>
      </c>
      <c r="K275" s="5">
        <v>41699</v>
      </c>
    </row>
    <row r="276" spans="1:11" x14ac:dyDescent="0.3">
      <c r="A276" s="7" t="s">
        <v>30</v>
      </c>
      <c r="B276" s="8" t="s">
        <v>26</v>
      </c>
      <c r="C276" s="8" t="s">
        <v>17</v>
      </c>
      <c r="D276" s="8" t="s">
        <v>14</v>
      </c>
      <c r="E276" s="11">
        <v>384</v>
      </c>
      <c r="F276" s="13">
        <v>120</v>
      </c>
      <c r="G276" s="13">
        <v>15</v>
      </c>
      <c r="H276" s="13">
        <v>5760</v>
      </c>
      <c r="I276" s="13">
        <v>633.59999999999991</v>
      </c>
      <c r="J276" s="13">
        <v>3840</v>
      </c>
      <c r="K276" s="5">
        <v>41640</v>
      </c>
    </row>
    <row r="277" spans="1:11" x14ac:dyDescent="0.3">
      <c r="A277" s="7" t="s">
        <v>15</v>
      </c>
      <c r="B277" s="8" t="s">
        <v>26</v>
      </c>
      <c r="C277" s="8" t="s">
        <v>21</v>
      </c>
      <c r="D277" s="8" t="s">
        <v>16</v>
      </c>
      <c r="E277" s="11">
        <v>819</v>
      </c>
      <c r="F277" s="13">
        <v>3</v>
      </c>
      <c r="G277" s="13">
        <v>7</v>
      </c>
      <c r="H277" s="13">
        <v>5733</v>
      </c>
      <c r="I277" s="13">
        <v>515.97</v>
      </c>
      <c r="J277" s="13">
        <v>4095</v>
      </c>
      <c r="K277" s="5">
        <v>41821</v>
      </c>
    </row>
    <row r="278" spans="1:11" x14ac:dyDescent="0.3">
      <c r="A278" s="7" t="s">
        <v>15</v>
      </c>
      <c r="B278" s="8" t="s">
        <v>26</v>
      </c>
      <c r="C278" s="8" t="s">
        <v>18</v>
      </c>
      <c r="D278" s="8" t="s">
        <v>22</v>
      </c>
      <c r="E278" s="11">
        <v>292</v>
      </c>
      <c r="F278" s="13">
        <v>10</v>
      </c>
      <c r="G278" s="13">
        <v>20</v>
      </c>
      <c r="H278" s="13">
        <v>5840</v>
      </c>
      <c r="I278" s="13">
        <v>0</v>
      </c>
      <c r="J278" s="13">
        <v>2920</v>
      </c>
      <c r="K278" s="5">
        <v>41671</v>
      </c>
    </row>
    <row r="279" spans="1:11" x14ac:dyDescent="0.3">
      <c r="A279" s="7" t="s">
        <v>29</v>
      </c>
      <c r="B279" s="8" t="s">
        <v>25</v>
      </c>
      <c r="C279" s="8" t="s">
        <v>18</v>
      </c>
      <c r="D279" s="8" t="s">
        <v>14</v>
      </c>
      <c r="E279" s="11">
        <v>571</v>
      </c>
      <c r="F279" s="13">
        <v>10</v>
      </c>
      <c r="G279" s="13">
        <v>12</v>
      </c>
      <c r="H279" s="13">
        <v>6852</v>
      </c>
      <c r="I279" s="13">
        <v>890.76</v>
      </c>
      <c r="J279" s="13">
        <v>1713</v>
      </c>
      <c r="K279" s="5">
        <v>41821</v>
      </c>
    </row>
    <row r="280" spans="1:11" x14ac:dyDescent="0.3">
      <c r="A280" s="7" t="s">
        <v>15</v>
      </c>
      <c r="B280" s="8" t="s">
        <v>25</v>
      </c>
      <c r="C280" s="8" t="s">
        <v>18</v>
      </c>
      <c r="D280" s="8" t="s">
        <v>22</v>
      </c>
      <c r="E280" s="11">
        <v>883</v>
      </c>
      <c r="F280" s="13">
        <v>10</v>
      </c>
      <c r="G280" s="13">
        <v>7</v>
      </c>
      <c r="H280" s="13">
        <v>6181</v>
      </c>
      <c r="I280" s="13">
        <v>0</v>
      </c>
      <c r="J280" s="13">
        <v>4415</v>
      </c>
      <c r="K280" s="5">
        <v>41852</v>
      </c>
    </row>
    <row r="281" spans="1:11" x14ac:dyDescent="0.3">
      <c r="A281" s="7" t="s">
        <v>29</v>
      </c>
      <c r="B281" s="8" t="s">
        <v>25</v>
      </c>
      <c r="C281" s="8" t="s">
        <v>21</v>
      </c>
      <c r="D281" s="8" t="s">
        <v>16</v>
      </c>
      <c r="E281" s="11">
        <v>562</v>
      </c>
      <c r="F281" s="13">
        <v>3</v>
      </c>
      <c r="G281" s="13">
        <v>12</v>
      </c>
      <c r="H281" s="13">
        <v>6744</v>
      </c>
      <c r="I281" s="13">
        <v>404.64</v>
      </c>
      <c r="J281" s="13">
        <v>1686</v>
      </c>
      <c r="K281" s="5">
        <v>41883</v>
      </c>
    </row>
    <row r="282" spans="1:11" x14ac:dyDescent="0.3">
      <c r="A282" s="7" t="s">
        <v>15</v>
      </c>
      <c r="B282" s="8" t="s">
        <v>12</v>
      </c>
      <c r="C282" s="8" t="s">
        <v>18</v>
      </c>
      <c r="D282" s="8" t="s">
        <v>16</v>
      </c>
      <c r="E282" s="11">
        <v>1031</v>
      </c>
      <c r="F282" s="13">
        <v>10</v>
      </c>
      <c r="G282" s="13">
        <v>7</v>
      </c>
      <c r="H282" s="13">
        <v>7217</v>
      </c>
      <c r="I282" s="13">
        <v>505.19</v>
      </c>
      <c r="J282" s="13">
        <v>5155</v>
      </c>
      <c r="K282" s="5">
        <v>41518</v>
      </c>
    </row>
    <row r="283" spans="1:11" x14ac:dyDescent="0.3">
      <c r="A283" s="7" t="s">
        <v>30</v>
      </c>
      <c r="B283" s="8" t="s">
        <v>12</v>
      </c>
      <c r="C283" s="8" t="s">
        <v>21</v>
      </c>
      <c r="D283" s="8" t="s">
        <v>16</v>
      </c>
      <c r="E283" s="11">
        <v>490</v>
      </c>
      <c r="F283" s="13">
        <v>3</v>
      </c>
      <c r="G283" s="13">
        <v>15</v>
      </c>
      <c r="H283" s="13">
        <v>7350</v>
      </c>
      <c r="I283" s="13">
        <v>588</v>
      </c>
      <c r="J283" s="13">
        <v>4900</v>
      </c>
      <c r="K283" s="5">
        <v>41944</v>
      </c>
    </row>
    <row r="284" spans="1:11" x14ac:dyDescent="0.3">
      <c r="A284" s="7" t="s">
        <v>15</v>
      </c>
      <c r="B284" s="8" t="s">
        <v>12</v>
      </c>
      <c r="C284" s="8" t="s">
        <v>18</v>
      </c>
      <c r="D284" s="8" t="s">
        <v>19</v>
      </c>
      <c r="E284" s="11">
        <v>1030</v>
      </c>
      <c r="F284" s="13">
        <v>10</v>
      </c>
      <c r="G284" s="13">
        <v>7</v>
      </c>
      <c r="H284" s="13">
        <v>7210</v>
      </c>
      <c r="I284" s="13">
        <v>72.099999999999994</v>
      </c>
      <c r="J284" s="13">
        <v>5150</v>
      </c>
      <c r="K284" s="5">
        <v>41760</v>
      </c>
    </row>
    <row r="285" spans="1:11" x14ac:dyDescent="0.3">
      <c r="A285" s="7" t="s">
        <v>15</v>
      </c>
      <c r="B285" s="8" t="s">
        <v>12</v>
      </c>
      <c r="C285" s="8" t="s">
        <v>13</v>
      </c>
      <c r="D285" s="8" t="s">
        <v>14</v>
      </c>
      <c r="E285" s="11">
        <v>1190</v>
      </c>
      <c r="F285" s="13">
        <v>260</v>
      </c>
      <c r="G285" s="13">
        <v>7</v>
      </c>
      <c r="H285" s="13">
        <v>8330</v>
      </c>
      <c r="I285" s="13">
        <v>1082.9000000000001</v>
      </c>
      <c r="J285" s="13">
        <v>5950</v>
      </c>
      <c r="K285" s="5">
        <v>41791</v>
      </c>
    </row>
    <row r="286" spans="1:11" x14ac:dyDescent="0.3">
      <c r="A286" s="7" t="s">
        <v>15</v>
      </c>
      <c r="B286" s="8" t="s">
        <v>12</v>
      </c>
      <c r="C286" s="8" t="s">
        <v>17</v>
      </c>
      <c r="D286" s="8" t="s">
        <v>14</v>
      </c>
      <c r="E286" s="11">
        <v>1190</v>
      </c>
      <c r="F286" s="13">
        <v>120</v>
      </c>
      <c r="G286" s="13">
        <v>7</v>
      </c>
      <c r="H286" s="13">
        <v>8330</v>
      </c>
      <c r="I286" s="13">
        <v>1082.9000000000001</v>
      </c>
      <c r="J286" s="13">
        <v>5950</v>
      </c>
      <c r="K286" s="5">
        <v>41791</v>
      </c>
    </row>
    <row r="287" spans="1:11" x14ac:dyDescent="0.3">
      <c r="A287" s="7" t="s">
        <v>30</v>
      </c>
      <c r="B287" s="8" t="s">
        <v>12</v>
      </c>
      <c r="C287" s="8" t="s">
        <v>18</v>
      </c>
      <c r="D287" s="8" t="s">
        <v>22</v>
      </c>
      <c r="E287" s="11">
        <v>549</v>
      </c>
      <c r="F287" s="13">
        <v>10</v>
      </c>
      <c r="G287" s="13">
        <v>15</v>
      </c>
      <c r="H287" s="13">
        <v>8235</v>
      </c>
      <c r="I287" s="13">
        <v>0</v>
      </c>
      <c r="J287" s="13">
        <v>5490</v>
      </c>
      <c r="K287" s="5">
        <v>41518</v>
      </c>
    </row>
    <row r="288" spans="1:11" x14ac:dyDescent="0.3">
      <c r="A288" s="7" t="s">
        <v>15</v>
      </c>
      <c r="B288" s="8" t="s">
        <v>12</v>
      </c>
      <c r="C288" s="8" t="s">
        <v>20</v>
      </c>
      <c r="D288" s="8" t="s">
        <v>14</v>
      </c>
      <c r="E288" s="11">
        <v>1491</v>
      </c>
      <c r="F288" s="13">
        <v>250</v>
      </c>
      <c r="G288" s="13">
        <v>7</v>
      </c>
      <c r="H288" s="13">
        <v>10437</v>
      </c>
      <c r="I288" s="13">
        <v>1252.44</v>
      </c>
      <c r="J288" s="13">
        <v>7455</v>
      </c>
      <c r="K288" s="5">
        <v>41699</v>
      </c>
    </row>
    <row r="289" spans="1:11" x14ac:dyDescent="0.3">
      <c r="A289" s="7" t="s">
        <v>15</v>
      </c>
      <c r="B289" s="8" t="s">
        <v>12</v>
      </c>
      <c r="C289" s="8" t="s">
        <v>13</v>
      </c>
      <c r="D289" s="8" t="s">
        <v>16</v>
      </c>
      <c r="E289" s="11">
        <v>1403</v>
      </c>
      <c r="F289" s="13">
        <v>260</v>
      </c>
      <c r="G289" s="13">
        <v>7</v>
      </c>
      <c r="H289" s="13">
        <v>9821</v>
      </c>
      <c r="I289" s="13">
        <v>589.26</v>
      </c>
      <c r="J289" s="13">
        <v>7015</v>
      </c>
      <c r="K289" s="5">
        <v>41548</v>
      </c>
    </row>
    <row r="290" spans="1:11" x14ac:dyDescent="0.3">
      <c r="A290" s="7" t="s">
        <v>15</v>
      </c>
      <c r="B290" s="8" t="s">
        <v>12</v>
      </c>
      <c r="C290" s="8" t="s">
        <v>27</v>
      </c>
      <c r="D290" s="8" t="s">
        <v>16</v>
      </c>
      <c r="E290" s="11">
        <v>1403</v>
      </c>
      <c r="F290" s="13">
        <v>5</v>
      </c>
      <c r="G290" s="13">
        <v>7</v>
      </c>
      <c r="H290" s="13">
        <v>9821</v>
      </c>
      <c r="I290" s="13">
        <v>589.26</v>
      </c>
      <c r="J290" s="13">
        <v>7015</v>
      </c>
      <c r="K290" s="5">
        <v>41548</v>
      </c>
    </row>
    <row r="291" spans="1:11" x14ac:dyDescent="0.3">
      <c r="A291" s="7" t="s">
        <v>29</v>
      </c>
      <c r="B291" s="8" t="s">
        <v>12</v>
      </c>
      <c r="C291" s="8" t="s">
        <v>20</v>
      </c>
      <c r="D291" s="8" t="s">
        <v>19</v>
      </c>
      <c r="E291" s="11">
        <v>866</v>
      </c>
      <c r="F291" s="13">
        <v>250</v>
      </c>
      <c r="G291" s="13">
        <v>12</v>
      </c>
      <c r="H291" s="13">
        <v>10392</v>
      </c>
      <c r="I291" s="13">
        <v>415.68</v>
      </c>
      <c r="J291" s="13">
        <v>2598</v>
      </c>
      <c r="K291" s="5">
        <v>41760</v>
      </c>
    </row>
    <row r="292" spans="1:11" x14ac:dyDescent="0.3">
      <c r="A292" s="7" t="s">
        <v>15</v>
      </c>
      <c r="B292" s="8" t="s">
        <v>12</v>
      </c>
      <c r="C292" s="8" t="s">
        <v>13</v>
      </c>
      <c r="D292" s="8" t="s">
        <v>14</v>
      </c>
      <c r="E292" s="11">
        <v>1731</v>
      </c>
      <c r="F292" s="13">
        <v>260</v>
      </c>
      <c r="G292" s="13">
        <v>7</v>
      </c>
      <c r="H292" s="13">
        <v>12117</v>
      </c>
      <c r="I292" s="13">
        <v>1696.38</v>
      </c>
      <c r="J292" s="13">
        <v>8655</v>
      </c>
      <c r="K292" s="5">
        <v>41913</v>
      </c>
    </row>
    <row r="293" spans="1:11" x14ac:dyDescent="0.3">
      <c r="A293" s="7" t="s">
        <v>15</v>
      </c>
      <c r="B293" s="8" t="s">
        <v>12</v>
      </c>
      <c r="C293" s="8" t="s">
        <v>18</v>
      </c>
      <c r="D293" s="8" t="s">
        <v>14</v>
      </c>
      <c r="E293" s="11">
        <v>1731</v>
      </c>
      <c r="F293" s="13">
        <v>10</v>
      </c>
      <c r="G293" s="13">
        <v>7</v>
      </c>
      <c r="H293" s="13">
        <v>12117</v>
      </c>
      <c r="I293" s="13">
        <v>1696.38</v>
      </c>
      <c r="J293" s="13">
        <v>8655</v>
      </c>
      <c r="K293" s="5">
        <v>41913</v>
      </c>
    </row>
    <row r="294" spans="1:11" x14ac:dyDescent="0.3">
      <c r="A294" s="7" t="s">
        <v>29</v>
      </c>
      <c r="B294" s="8" t="s">
        <v>12</v>
      </c>
      <c r="C294" s="8" t="s">
        <v>18</v>
      </c>
      <c r="D294" s="8" t="s">
        <v>19</v>
      </c>
      <c r="E294" s="11">
        <v>1055</v>
      </c>
      <c r="F294" s="13">
        <v>10</v>
      </c>
      <c r="G294" s="13">
        <v>12</v>
      </c>
      <c r="H294" s="13">
        <v>12660</v>
      </c>
      <c r="I294" s="13">
        <v>253.2</v>
      </c>
      <c r="J294" s="13">
        <v>3165</v>
      </c>
      <c r="K294" s="5">
        <v>41974</v>
      </c>
    </row>
    <row r="295" spans="1:11" x14ac:dyDescent="0.3">
      <c r="A295" s="7" t="s">
        <v>29</v>
      </c>
      <c r="B295" s="8" t="s">
        <v>12</v>
      </c>
      <c r="C295" s="8" t="s">
        <v>17</v>
      </c>
      <c r="D295" s="8" t="s">
        <v>19</v>
      </c>
      <c r="E295" s="11">
        <v>1055</v>
      </c>
      <c r="F295" s="13">
        <v>120</v>
      </c>
      <c r="G295" s="13">
        <v>12</v>
      </c>
      <c r="H295" s="13">
        <v>12660</v>
      </c>
      <c r="I295" s="13">
        <v>253.2</v>
      </c>
      <c r="J295" s="13">
        <v>3165</v>
      </c>
      <c r="K295" s="5">
        <v>41974</v>
      </c>
    </row>
    <row r="296" spans="1:11" x14ac:dyDescent="0.3">
      <c r="A296" s="7" t="s">
        <v>29</v>
      </c>
      <c r="B296" s="8" t="s">
        <v>12</v>
      </c>
      <c r="C296" s="8" t="s">
        <v>21</v>
      </c>
      <c r="D296" s="8" t="s">
        <v>14</v>
      </c>
      <c r="E296" s="11">
        <v>1198</v>
      </c>
      <c r="F296" s="13">
        <v>3</v>
      </c>
      <c r="G296" s="13">
        <v>12</v>
      </c>
      <c r="H296" s="13">
        <v>14376</v>
      </c>
      <c r="I296" s="13">
        <v>1581.36</v>
      </c>
      <c r="J296" s="13">
        <v>3594</v>
      </c>
      <c r="K296" s="5">
        <v>41548</v>
      </c>
    </row>
    <row r="297" spans="1:11" x14ac:dyDescent="0.3">
      <c r="A297" s="7" t="s">
        <v>29</v>
      </c>
      <c r="B297" s="8" t="s">
        <v>12</v>
      </c>
      <c r="C297" s="8" t="s">
        <v>18</v>
      </c>
      <c r="D297" s="8" t="s">
        <v>14</v>
      </c>
      <c r="E297" s="11">
        <v>1198</v>
      </c>
      <c r="F297" s="13">
        <v>10</v>
      </c>
      <c r="G297" s="13">
        <v>12</v>
      </c>
      <c r="H297" s="13">
        <v>14376</v>
      </c>
      <c r="I297" s="13">
        <v>1581.36</v>
      </c>
      <c r="J297" s="13">
        <v>3594</v>
      </c>
      <c r="K297" s="5">
        <v>41548</v>
      </c>
    </row>
    <row r="298" spans="1:11" x14ac:dyDescent="0.3">
      <c r="A298" s="7" t="s">
        <v>15</v>
      </c>
      <c r="B298" s="8" t="s">
        <v>12</v>
      </c>
      <c r="C298" s="8" t="s">
        <v>18</v>
      </c>
      <c r="D298" s="8" t="s">
        <v>16</v>
      </c>
      <c r="E298" s="11">
        <v>2136</v>
      </c>
      <c r="F298" s="13">
        <v>10</v>
      </c>
      <c r="G298" s="13">
        <v>7</v>
      </c>
      <c r="H298" s="13">
        <v>14952</v>
      </c>
      <c r="I298" s="13">
        <v>747.6</v>
      </c>
      <c r="J298" s="13">
        <v>10680</v>
      </c>
      <c r="K298" s="5">
        <v>41609</v>
      </c>
    </row>
    <row r="299" spans="1:11" x14ac:dyDescent="0.3">
      <c r="A299" s="7" t="s">
        <v>29</v>
      </c>
      <c r="B299" s="8" t="s">
        <v>12</v>
      </c>
      <c r="C299" s="8" t="s">
        <v>13</v>
      </c>
      <c r="D299" s="8" t="s">
        <v>14</v>
      </c>
      <c r="E299" s="11">
        <v>1393</v>
      </c>
      <c r="F299" s="13">
        <v>260</v>
      </c>
      <c r="G299" s="13">
        <v>12</v>
      </c>
      <c r="H299" s="13">
        <v>16716</v>
      </c>
      <c r="I299" s="13">
        <v>2340.2399999999998</v>
      </c>
      <c r="J299" s="13">
        <v>4179</v>
      </c>
      <c r="K299" s="5">
        <v>41913</v>
      </c>
    </row>
    <row r="300" spans="1:11" x14ac:dyDescent="0.3">
      <c r="A300" s="7" t="s">
        <v>29</v>
      </c>
      <c r="B300" s="8" t="s">
        <v>12</v>
      </c>
      <c r="C300" s="8" t="s">
        <v>18</v>
      </c>
      <c r="D300" s="8" t="s">
        <v>14</v>
      </c>
      <c r="E300" s="11">
        <v>1393</v>
      </c>
      <c r="F300" s="13">
        <v>10</v>
      </c>
      <c r="G300" s="13">
        <v>12</v>
      </c>
      <c r="H300" s="13">
        <v>16716</v>
      </c>
      <c r="I300" s="13">
        <v>2340.2399999999998</v>
      </c>
      <c r="J300" s="13">
        <v>4179</v>
      </c>
      <c r="K300" s="5">
        <v>41913</v>
      </c>
    </row>
    <row r="301" spans="1:11" x14ac:dyDescent="0.3">
      <c r="A301" s="7" t="s">
        <v>15</v>
      </c>
      <c r="B301" s="8" t="s">
        <v>12</v>
      </c>
      <c r="C301" s="8" t="s">
        <v>21</v>
      </c>
      <c r="D301" s="8" t="s">
        <v>19</v>
      </c>
      <c r="E301" s="11">
        <v>2145</v>
      </c>
      <c r="F301" s="13">
        <v>3</v>
      </c>
      <c r="G301" s="13">
        <v>7</v>
      </c>
      <c r="H301" s="13">
        <v>15015</v>
      </c>
      <c r="I301" s="13">
        <v>300.3</v>
      </c>
      <c r="J301" s="13">
        <v>10725</v>
      </c>
      <c r="K301" s="5">
        <v>41579</v>
      </c>
    </row>
    <row r="302" spans="1:11" x14ac:dyDescent="0.3">
      <c r="A302" s="7" t="s">
        <v>15</v>
      </c>
      <c r="B302" s="8" t="s">
        <v>12</v>
      </c>
      <c r="C302" s="8" t="s">
        <v>18</v>
      </c>
      <c r="D302" s="8" t="s">
        <v>14</v>
      </c>
      <c r="E302" s="11">
        <v>2532</v>
      </c>
      <c r="F302" s="13">
        <v>10</v>
      </c>
      <c r="G302" s="13">
        <v>7</v>
      </c>
      <c r="H302" s="13">
        <v>17724</v>
      </c>
      <c r="I302" s="13">
        <v>1949.6399999999999</v>
      </c>
      <c r="J302" s="13">
        <v>12660</v>
      </c>
      <c r="K302" s="5">
        <v>41730</v>
      </c>
    </row>
    <row r="303" spans="1:11" x14ac:dyDescent="0.3">
      <c r="A303" s="7" t="s">
        <v>15</v>
      </c>
      <c r="B303" s="8" t="s">
        <v>12</v>
      </c>
      <c r="C303" s="8" t="s">
        <v>18</v>
      </c>
      <c r="D303" s="8" t="s">
        <v>14</v>
      </c>
      <c r="E303" s="11">
        <v>2696</v>
      </c>
      <c r="F303" s="13">
        <v>10</v>
      </c>
      <c r="G303" s="13">
        <v>7</v>
      </c>
      <c r="H303" s="13">
        <v>18872</v>
      </c>
      <c r="I303" s="13">
        <v>2453.36</v>
      </c>
      <c r="J303" s="13">
        <v>13480</v>
      </c>
      <c r="K303" s="5">
        <v>41852</v>
      </c>
    </row>
    <row r="304" spans="1:11" x14ac:dyDescent="0.3">
      <c r="A304" s="7" t="s">
        <v>15</v>
      </c>
      <c r="B304" s="8" t="s">
        <v>12</v>
      </c>
      <c r="C304" s="8" t="s">
        <v>21</v>
      </c>
      <c r="D304" s="8" t="s">
        <v>16</v>
      </c>
      <c r="E304" s="11">
        <v>2487</v>
      </c>
      <c r="F304" s="13">
        <v>3</v>
      </c>
      <c r="G304" s="13">
        <v>7</v>
      </c>
      <c r="H304" s="13">
        <v>17409</v>
      </c>
      <c r="I304" s="13">
        <v>870.45</v>
      </c>
      <c r="J304" s="13">
        <v>12435</v>
      </c>
      <c r="K304" s="5">
        <v>41974</v>
      </c>
    </row>
    <row r="305" spans="1:11" x14ac:dyDescent="0.3">
      <c r="A305" s="7" t="s">
        <v>15</v>
      </c>
      <c r="B305" s="8" t="s">
        <v>12</v>
      </c>
      <c r="C305" s="8" t="s">
        <v>20</v>
      </c>
      <c r="D305" s="8" t="s">
        <v>16</v>
      </c>
      <c r="E305" s="11">
        <v>2487</v>
      </c>
      <c r="F305" s="13">
        <v>250</v>
      </c>
      <c r="G305" s="13">
        <v>7</v>
      </c>
      <c r="H305" s="13">
        <v>17409</v>
      </c>
      <c r="I305" s="13">
        <v>870.45</v>
      </c>
      <c r="J305" s="13">
        <v>12435</v>
      </c>
      <c r="K305" s="5">
        <v>41974</v>
      </c>
    </row>
    <row r="306" spans="1:11" x14ac:dyDescent="0.3">
      <c r="A306" s="7" t="s">
        <v>30</v>
      </c>
      <c r="B306" s="8" t="s">
        <v>12</v>
      </c>
      <c r="C306" s="8" t="s">
        <v>18</v>
      </c>
      <c r="D306" s="8" t="s">
        <v>16</v>
      </c>
      <c r="E306" s="11">
        <v>1227</v>
      </c>
      <c r="F306" s="13">
        <v>10</v>
      </c>
      <c r="G306" s="13">
        <v>15</v>
      </c>
      <c r="H306" s="13">
        <v>18405</v>
      </c>
      <c r="I306" s="13">
        <v>1656.45</v>
      </c>
      <c r="J306" s="13">
        <v>12270</v>
      </c>
      <c r="K306" s="5">
        <v>41913</v>
      </c>
    </row>
    <row r="307" spans="1:11" x14ac:dyDescent="0.3">
      <c r="A307" s="7" t="s">
        <v>30</v>
      </c>
      <c r="B307" s="8" t="s">
        <v>12</v>
      </c>
      <c r="C307" s="8" t="s">
        <v>20</v>
      </c>
      <c r="D307" s="8" t="s">
        <v>16</v>
      </c>
      <c r="E307" s="11">
        <v>1227</v>
      </c>
      <c r="F307" s="13">
        <v>250</v>
      </c>
      <c r="G307" s="13">
        <v>15</v>
      </c>
      <c r="H307" s="13">
        <v>18405</v>
      </c>
      <c r="I307" s="13">
        <v>1656.45</v>
      </c>
      <c r="J307" s="13">
        <v>12270</v>
      </c>
      <c r="K307" s="5">
        <v>41913</v>
      </c>
    </row>
    <row r="308" spans="1:11" x14ac:dyDescent="0.3">
      <c r="A308" s="7" t="s">
        <v>15</v>
      </c>
      <c r="B308" s="8" t="s">
        <v>12</v>
      </c>
      <c r="C308" s="8" t="s">
        <v>13</v>
      </c>
      <c r="D308" s="8" t="s">
        <v>19</v>
      </c>
      <c r="E308" s="11">
        <v>941</v>
      </c>
      <c r="F308" s="13">
        <v>260</v>
      </c>
      <c r="G308" s="13">
        <v>20</v>
      </c>
      <c r="H308" s="13">
        <v>18820</v>
      </c>
      <c r="I308" s="13">
        <v>376.4</v>
      </c>
      <c r="J308" s="13">
        <v>9410</v>
      </c>
      <c r="K308" s="5">
        <v>41944</v>
      </c>
    </row>
    <row r="309" spans="1:11" x14ac:dyDescent="0.3">
      <c r="A309" s="7" t="s">
        <v>29</v>
      </c>
      <c r="B309" s="8" t="s">
        <v>12</v>
      </c>
      <c r="C309" s="8" t="s">
        <v>20</v>
      </c>
      <c r="D309" s="8" t="s">
        <v>14</v>
      </c>
      <c r="E309" s="11">
        <v>1734</v>
      </c>
      <c r="F309" s="13">
        <v>250</v>
      </c>
      <c r="G309" s="13">
        <v>12</v>
      </c>
      <c r="H309" s="13">
        <v>20808</v>
      </c>
      <c r="I309" s="13">
        <v>2288.88</v>
      </c>
      <c r="J309" s="13">
        <v>5202</v>
      </c>
      <c r="K309" s="5">
        <v>41640</v>
      </c>
    </row>
    <row r="310" spans="1:11" x14ac:dyDescent="0.3">
      <c r="A310" s="7" t="s">
        <v>29</v>
      </c>
      <c r="B310" s="8" t="s">
        <v>12</v>
      </c>
      <c r="C310" s="8" t="s">
        <v>20</v>
      </c>
      <c r="D310" s="8" t="s">
        <v>16</v>
      </c>
      <c r="E310" s="11">
        <v>1738.5</v>
      </c>
      <c r="F310" s="13">
        <v>250</v>
      </c>
      <c r="G310" s="13">
        <v>12</v>
      </c>
      <c r="H310" s="13">
        <v>20862</v>
      </c>
      <c r="I310" s="13">
        <v>1460.34</v>
      </c>
      <c r="J310" s="13">
        <v>5215.5</v>
      </c>
      <c r="K310" s="5">
        <v>41730</v>
      </c>
    </row>
    <row r="311" spans="1:11" x14ac:dyDescent="0.3">
      <c r="A311" s="7" t="s">
        <v>15</v>
      </c>
      <c r="B311" s="8" t="s">
        <v>12</v>
      </c>
      <c r="C311" s="8" t="s">
        <v>17</v>
      </c>
      <c r="D311" s="8" t="s">
        <v>16</v>
      </c>
      <c r="E311" s="11">
        <v>1033</v>
      </c>
      <c r="F311" s="13">
        <v>120</v>
      </c>
      <c r="G311" s="13">
        <v>20</v>
      </c>
      <c r="H311" s="13">
        <v>20660</v>
      </c>
      <c r="I311" s="13">
        <v>1033</v>
      </c>
      <c r="J311" s="13">
        <v>10330</v>
      </c>
      <c r="K311" s="5">
        <v>41609</v>
      </c>
    </row>
    <row r="312" spans="1:11" x14ac:dyDescent="0.3">
      <c r="A312" s="7" t="s">
        <v>29</v>
      </c>
      <c r="B312" s="8" t="s">
        <v>12</v>
      </c>
      <c r="C312" s="8" t="s">
        <v>18</v>
      </c>
      <c r="D312" s="8" t="s">
        <v>19</v>
      </c>
      <c r="E312" s="11">
        <v>1785</v>
      </c>
      <c r="F312" s="13">
        <v>10</v>
      </c>
      <c r="G312" s="13">
        <v>12</v>
      </c>
      <c r="H312" s="13">
        <v>21420</v>
      </c>
      <c r="I312" s="13">
        <v>428.4</v>
      </c>
      <c r="J312" s="13">
        <v>5355</v>
      </c>
      <c r="K312" s="5">
        <v>41579</v>
      </c>
    </row>
    <row r="313" spans="1:11" x14ac:dyDescent="0.3">
      <c r="A313" s="7" t="s">
        <v>15</v>
      </c>
      <c r="B313" s="8" t="s">
        <v>12</v>
      </c>
      <c r="C313" s="8" t="s">
        <v>13</v>
      </c>
      <c r="D313" s="8" t="s">
        <v>14</v>
      </c>
      <c r="E313" s="11">
        <v>3421.5</v>
      </c>
      <c r="F313" s="13">
        <v>260</v>
      </c>
      <c r="G313" s="13">
        <v>7</v>
      </c>
      <c r="H313" s="13">
        <v>23950.5</v>
      </c>
      <c r="I313" s="13">
        <v>2874.06</v>
      </c>
      <c r="J313" s="13">
        <v>17107.5</v>
      </c>
      <c r="K313" s="5">
        <v>41821</v>
      </c>
    </row>
    <row r="314" spans="1:11" x14ac:dyDescent="0.3">
      <c r="A314" s="7" t="s">
        <v>29</v>
      </c>
      <c r="B314" s="8" t="s">
        <v>12</v>
      </c>
      <c r="C314" s="8" t="s">
        <v>21</v>
      </c>
      <c r="D314" s="8" t="s">
        <v>16</v>
      </c>
      <c r="E314" s="11">
        <v>1865</v>
      </c>
      <c r="F314" s="13">
        <v>3</v>
      </c>
      <c r="G314" s="13">
        <v>12</v>
      </c>
      <c r="H314" s="13">
        <v>22380</v>
      </c>
      <c r="I314" s="13">
        <v>1119</v>
      </c>
      <c r="J314" s="13">
        <v>5595</v>
      </c>
      <c r="K314" s="5">
        <v>41671</v>
      </c>
    </row>
    <row r="315" spans="1:11" x14ac:dyDescent="0.3">
      <c r="A315" s="7" t="s">
        <v>29</v>
      </c>
      <c r="B315" s="8" t="s">
        <v>12</v>
      </c>
      <c r="C315" s="8" t="s">
        <v>17</v>
      </c>
      <c r="D315" s="8" t="s">
        <v>16</v>
      </c>
      <c r="E315" s="11">
        <v>1967</v>
      </c>
      <c r="F315" s="13">
        <v>120</v>
      </c>
      <c r="G315" s="13">
        <v>12</v>
      </c>
      <c r="H315" s="13">
        <v>23604</v>
      </c>
      <c r="I315" s="13">
        <v>2124.36</v>
      </c>
      <c r="J315" s="13">
        <v>5901</v>
      </c>
      <c r="K315" s="5">
        <v>41699</v>
      </c>
    </row>
    <row r="316" spans="1:11" x14ac:dyDescent="0.3">
      <c r="A316" s="7" t="s">
        <v>29</v>
      </c>
      <c r="B316" s="8" t="s">
        <v>12</v>
      </c>
      <c r="C316" s="8" t="s">
        <v>27</v>
      </c>
      <c r="D316" s="8" t="s">
        <v>19</v>
      </c>
      <c r="E316" s="11">
        <v>1901</v>
      </c>
      <c r="F316" s="13">
        <v>5</v>
      </c>
      <c r="G316" s="13">
        <v>12</v>
      </c>
      <c r="H316" s="13">
        <v>22812</v>
      </c>
      <c r="I316" s="13">
        <v>684.36</v>
      </c>
      <c r="J316" s="13">
        <v>5703</v>
      </c>
      <c r="K316" s="5">
        <v>41791</v>
      </c>
    </row>
    <row r="317" spans="1:11" x14ac:dyDescent="0.3">
      <c r="A317" s="7" t="s">
        <v>29</v>
      </c>
      <c r="B317" s="8" t="s">
        <v>12</v>
      </c>
      <c r="C317" s="8" t="s">
        <v>18</v>
      </c>
      <c r="D317" s="8" t="s">
        <v>19</v>
      </c>
      <c r="E317" s="11">
        <v>1901</v>
      </c>
      <c r="F317" s="13">
        <v>10</v>
      </c>
      <c r="G317" s="13">
        <v>12</v>
      </c>
      <c r="H317" s="13">
        <v>22812</v>
      </c>
      <c r="I317" s="13">
        <v>684.36</v>
      </c>
      <c r="J317" s="13">
        <v>5703</v>
      </c>
      <c r="K317" s="5">
        <v>41791</v>
      </c>
    </row>
    <row r="318" spans="1:11" x14ac:dyDescent="0.3">
      <c r="A318" s="7" t="s">
        <v>29</v>
      </c>
      <c r="B318" s="8" t="s">
        <v>12</v>
      </c>
      <c r="C318" s="8" t="s">
        <v>20</v>
      </c>
      <c r="D318" s="8" t="s">
        <v>16</v>
      </c>
      <c r="E318" s="11">
        <v>2234</v>
      </c>
      <c r="F318" s="13">
        <v>250</v>
      </c>
      <c r="G318" s="13">
        <v>12</v>
      </c>
      <c r="H318" s="13">
        <v>26808</v>
      </c>
      <c r="I318" s="13">
        <v>2412.7199999999998</v>
      </c>
      <c r="J318" s="13">
        <v>6702</v>
      </c>
      <c r="K318" s="5">
        <v>41518</v>
      </c>
    </row>
    <row r="319" spans="1:11" x14ac:dyDescent="0.3">
      <c r="A319" s="7" t="s">
        <v>15</v>
      </c>
      <c r="B319" s="8" t="s">
        <v>12</v>
      </c>
      <c r="C319" s="8" t="s">
        <v>18</v>
      </c>
      <c r="D319" s="8" t="s">
        <v>16</v>
      </c>
      <c r="E319" s="11">
        <v>1303</v>
      </c>
      <c r="F319" s="13">
        <v>10</v>
      </c>
      <c r="G319" s="13">
        <v>20</v>
      </c>
      <c r="H319" s="13">
        <v>26060</v>
      </c>
      <c r="I319" s="13">
        <v>1303</v>
      </c>
      <c r="J319" s="13">
        <v>13030</v>
      </c>
      <c r="K319" s="5">
        <v>41671</v>
      </c>
    </row>
    <row r="320" spans="1:11" x14ac:dyDescent="0.3">
      <c r="A320" s="7" t="s">
        <v>29</v>
      </c>
      <c r="B320" s="8" t="s">
        <v>12</v>
      </c>
      <c r="C320" s="8" t="s">
        <v>13</v>
      </c>
      <c r="D320" s="8" t="s">
        <v>14</v>
      </c>
      <c r="E320" s="11">
        <v>2475</v>
      </c>
      <c r="F320" s="13">
        <v>260</v>
      </c>
      <c r="G320" s="13">
        <v>12</v>
      </c>
      <c r="H320" s="13">
        <v>29700</v>
      </c>
      <c r="I320" s="13">
        <v>4158</v>
      </c>
      <c r="J320" s="13">
        <v>7425</v>
      </c>
      <c r="K320" s="5">
        <v>41852</v>
      </c>
    </row>
    <row r="321" spans="1:11" x14ac:dyDescent="0.3">
      <c r="A321" s="7" t="s">
        <v>29</v>
      </c>
      <c r="B321" s="8" t="s">
        <v>12</v>
      </c>
      <c r="C321" s="8" t="s">
        <v>18</v>
      </c>
      <c r="D321" s="8" t="s">
        <v>14</v>
      </c>
      <c r="E321" s="11">
        <v>2425.5</v>
      </c>
      <c r="F321" s="13">
        <v>10</v>
      </c>
      <c r="G321" s="13">
        <v>12</v>
      </c>
      <c r="H321" s="13">
        <v>29106</v>
      </c>
      <c r="I321" s="13">
        <v>3201.66</v>
      </c>
      <c r="J321" s="13">
        <v>7276.5</v>
      </c>
      <c r="K321" s="5">
        <v>41821</v>
      </c>
    </row>
    <row r="322" spans="1:11" x14ac:dyDescent="0.3">
      <c r="A322" s="7" t="s">
        <v>29</v>
      </c>
      <c r="B322" s="8" t="s">
        <v>12</v>
      </c>
      <c r="C322" s="8" t="s">
        <v>27</v>
      </c>
      <c r="D322" s="8" t="s">
        <v>16</v>
      </c>
      <c r="E322" s="11">
        <v>2342</v>
      </c>
      <c r="F322" s="13">
        <v>5</v>
      </c>
      <c r="G322" s="13">
        <v>12</v>
      </c>
      <c r="H322" s="13">
        <v>28104</v>
      </c>
      <c r="I322" s="13">
        <v>1967.28</v>
      </c>
      <c r="J322" s="13">
        <v>7026</v>
      </c>
      <c r="K322" s="5">
        <v>41944</v>
      </c>
    </row>
    <row r="323" spans="1:11" x14ac:dyDescent="0.3">
      <c r="A323" s="7" t="s">
        <v>15</v>
      </c>
      <c r="B323" s="8" t="s">
        <v>12</v>
      </c>
      <c r="C323" s="8" t="s">
        <v>27</v>
      </c>
      <c r="D323" s="8" t="s">
        <v>19</v>
      </c>
      <c r="E323" s="11">
        <v>1375.5</v>
      </c>
      <c r="F323" s="13">
        <v>5</v>
      </c>
      <c r="G323" s="13">
        <v>20</v>
      </c>
      <c r="H323" s="13">
        <v>27510</v>
      </c>
      <c r="I323" s="13">
        <v>275.10000000000002</v>
      </c>
      <c r="J323" s="13">
        <v>13755</v>
      </c>
      <c r="K323" s="5">
        <v>41821</v>
      </c>
    </row>
    <row r="324" spans="1:11" x14ac:dyDescent="0.3">
      <c r="A324" s="7" t="s">
        <v>15</v>
      </c>
      <c r="B324" s="8" t="s">
        <v>12</v>
      </c>
      <c r="C324" s="8" t="s">
        <v>18</v>
      </c>
      <c r="D324" s="8" t="s">
        <v>19</v>
      </c>
      <c r="E324" s="11">
        <v>3945</v>
      </c>
      <c r="F324" s="13">
        <v>10</v>
      </c>
      <c r="G324" s="13">
        <v>7</v>
      </c>
      <c r="H324" s="13">
        <v>27615</v>
      </c>
      <c r="I324" s="13">
        <v>276.14999999999998</v>
      </c>
      <c r="J324" s="13">
        <v>19725</v>
      </c>
      <c r="K324" s="5">
        <v>41640</v>
      </c>
    </row>
    <row r="325" spans="1:11" x14ac:dyDescent="0.3">
      <c r="A325" s="7" t="s">
        <v>30</v>
      </c>
      <c r="B325" s="8" t="s">
        <v>12</v>
      </c>
      <c r="C325" s="8" t="s">
        <v>13</v>
      </c>
      <c r="D325" s="8" t="s">
        <v>14</v>
      </c>
      <c r="E325" s="11">
        <v>2072</v>
      </c>
      <c r="F325" s="13">
        <v>260</v>
      </c>
      <c r="G325" s="13">
        <v>15</v>
      </c>
      <c r="H325" s="13">
        <v>31080</v>
      </c>
      <c r="I325" s="13">
        <v>3108</v>
      </c>
      <c r="J325" s="13">
        <v>20720</v>
      </c>
      <c r="K325" s="5">
        <v>41974</v>
      </c>
    </row>
    <row r="326" spans="1:11" x14ac:dyDescent="0.3">
      <c r="A326" s="7" t="s">
        <v>30</v>
      </c>
      <c r="B326" s="8" t="s">
        <v>12</v>
      </c>
      <c r="C326" s="8" t="s">
        <v>27</v>
      </c>
      <c r="D326" s="8" t="s">
        <v>14</v>
      </c>
      <c r="E326" s="11">
        <v>2072</v>
      </c>
      <c r="F326" s="13">
        <v>5</v>
      </c>
      <c r="G326" s="13">
        <v>15</v>
      </c>
      <c r="H326" s="13">
        <v>31080</v>
      </c>
      <c r="I326" s="13">
        <v>3108</v>
      </c>
      <c r="J326" s="13">
        <v>20720</v>
      </c>
      <c r="K326" s="5">
        <v>41974</v>
      </c>
    </row>
    <row r="327" spans="1:11" x14ac:dyDescent="0.3">
      <c r="A327" s="7" t="s">
        <v>15</v>
      </c>
      <c r="B327" s="8" t="s">
        <v>12</v>
      </c>
      <c r="C327" s="8" t="s">
        <v>18</v>
      </c>
      <c r="D327" s="8" t="s">
        <v>16</v>
      </c>
      <c r="E327" s="11">
        <v>1535</v>
      </c>
      <c r="F327" s="13">
        <v>10</v>
      </c>
      <c r="G327" s="13">
        <v>20</v>
      </c>
      <c r="H327" s="13">
        <v>30700</v>
      </c>
      <c r="I327" s="13">
        <v>2149</v>
      </c>
      <c r="J327" s="13">
        <v>15350</v>
      </c>
      <c r="K327" s="5">
        <v>41883</v>
      </c>
    </row>
    <row r="328" spans="1:11" x14ac:dyDescent="0.3">
      <c r="A328" s="7" t="s">
        <v>30</v>
      </c>
      <c r="B328" s="8" t="s">
        <v>12</v>
      </c>
      <c r="C328" s="8" t="s">
        <v>18</v>
      </c>
      <c r="D328" s="8" t="s">
        <v>14</v>
      </c>
      <c r="E328" s="11">
        <v>2167</v>
      </c>
      <c r="F328" s="13">
        <v>10</v>
      </c>
      <c r="G328" s="13">
        <v>15</v>
      </c>
      <c r="H328" s="13">
        <v>32505</v>
      </c>
      <c r="I328" s="13">
        <v>3250.5</v>
      </c>
      <c r="J328" s="13">
        <v>21670</v>
      </c>
      <c r="K328" s="5">
        <v>41548</v>
      </c>
    </row>
    <row r="329" spans="1:11" x14ac:dyDescent="0.3">
      <c r="A329" s="7" t="s">
        <v>30</v>
      </c>
      <c r="B329" s="8" t="s">
        <v>12</v>
      </c>
      <c r="C329" s="8" t="s">
        <v>20</v>
      </c>
      <c r="D329" s="8" t="s">
        <v>14</v>
      </c>
      <c r="E329" s="11">
        <v>2167</v>
      </c>
      <c r="F329" s="13">
        <v>250</v>
      </c>
      <c r="G329" s="13">
        <v>15</v>
      </c>
      <c r="H329" s="13">
        <v>32505</v>
      </c>
      <c r="I329" s="13">
        <v>3250.5</v>
      </c>
      <c r="J329" s="13">
        <v>21670</v>
      </c>
      <c r="K329" s="5">
        <v>41548</v>
      </c>
    </row>
    <row r="330" spans="1:11" x14ac:dyDescent="0.3">
      <c r="A330" s="7" t="s">
        <v>30</v>
      </c>
      <c r="B330" s="8" t="s">
        <v>12</v>
      </c>
      <c r="C330" s="8" t="s">
        <v>18</v>
      </c>
      <c r="D330" s="8" t="s">
        <v>16</v>
      </c>
      <c r="E330" s="11">
        <v>2101</v>
      </c>
      <c r="F330" s="13">
        <v>10</v>
      </c>
      <c r="G330" s="13">
        <v>15</v>
      </c>
      <c r="H330" s="13">
        <v>31515</v>
      </c>
      <c r="I330" s="13">
        <v>2206.0500000000002</v>
      </c>
      <c r="J330" s="13">
        <v>21010</v>
      </c>
      <c r="K330" s="5">
        <v>41852</v>
      </c>
    </row>
    <row r="331" spans="1:11" x14ac:dyDescent="0.3">
      <c r="A331" s="7" t="s">
        <v>15</v>
      </c>
      <c r="B331" s="8" t="s">
        <v>12</v>
      </c>
      <c r="C331" s="8" t="s">
        <v>21</v>
      </c>
      <c r="D331" s="8" t="s">
        <v>16</v>
      </c>
      <c r="E331" s="11">
        <v>1563</v>
      </c>
      <c r="F331" s="13">
        <v>3</v>
      </c>
      <c r="G331" s="13">
        <v>20</v>
      </c>
      <c r="H331" s="13">
        <v>31260</v>
      </c>
      <c r="I331" s="13">
        <v>1563</v>
      </c>
      <c r="J331" s="13">
        <v>15630</v>
      </c>
      <c r="K331" s="5">
        <v>41760</v>
      </c>
    </row>
    <row r="332" spans="1:11" x14ac:dyDescent="0.3">
      <c r="A332" s="7" t="s">
        <v>15</v>
      </c>
      <c r="B332" s="8" t="s">
        <v>12</v>
      </c>
      <c r="C332" s="8" t="s">
        <v>17</v>
      </c>
      <c r="D332" s="8" t="s">
        <v>16</v>
      </c>
      <c r="E332" s="11">
        <v>1579</v>
      </c>
      <c r="F332" s="13">
        <v>120</v>
      </c>
      <c r="G332" s="13">
        <v>20</v>
      </c>
      <c r="H332" s="13">
        <v>31580</v>
      </c>
      <c r="I332" s="13">
        <v>1579</v>
      </c>
      <c r="J332" s="13">
        <v>15790</v>
      </c>
      <c r="K332" s="5">
        <v>41852</v>
      </c>
    </row>
    <row r="333" spans="1:11" x14ac:dyDescent="0.3">
      <c r="A333" s="7" t="s">
        <v>29</v>
      </c>
      <c r="B333" s="8" t="s">
        <v>12</v>
      </c>
      <c r="C333" s="8" t="s">
        <v>21</v>
      </c>
      <c r="D333" s="8" t="s">
        <v>19</v>
      </c>
      <c r="E333" s="11">
        <v>2671</v>
      </c>
      <c r="F333" s="13">
        <v>3</v>
      </c>
      <c r="G333" s="13">
        <v>12</v>
      </c>
      <c r="H333" s="13">
        <v>32052</v>
      </c>
      <c r="I333" s="13">
        <v>320.52</v>
      </c>
      <c r="J333" s="13">
        <v>8013</v>
      </c>
      <c r="K333" s="5">
        <v>41883</v>
      </c>
    </row>
    <row r="334" spans="1:11" x14ac:dyDescent="0.3">
      <c r="A334" s="7" t="s">
        <v>30</v>
      </c>
      <c r="B334" s="8" t="s">
        <v>12</v>
      </c>
      <c r="C334" s="8" t="s">
        <v>18</v>
      </c>
      <c r="D334" s="8" t="s">
        <v>19</v>
      </c>
      <c r="E334" s="11">
        <v>2261</v>
      </c>
      <c r="F334" s="13">
        <v>10</v>
      </c>
      <c r="G334" s="13">
        <v>15</v>
      </c>
      <c r="H334" s="13">
        <v>33915</v>
      </c>
      <c r="I334" s="13">
        <v>1356.6</v>
      </c>
      <c r="J334" s="13">
        <v>22610</v>
      </c>
      <c r="K334" s="5">
        <v>41609</v>
      </c>
    </row>
    <row r="335" spans="1:11" x14ac:dyDescent="0.3">
      <c r="A335" s="7" t="s">
        <v>30</v>
      </c>
      <c r="B335" s="8" t="s">
        <v>12</v>
      </c>
      <c r="C335" s="8" t="s">
        <v>21</v>
      </c>
      <c r="D335" s="8" t="s">
        <v>22</v>
      </c>
      <c r="E335" s="11">
        <v>2178</v>
      </c>
      <c r="F335" s="13">
        <v>3</v>
      </c>
      <c r="G335" s="13">
        <v>15</v>
      </c>
      <c r="H335" s="13">
        <v>32670</v>
      </c>
      <c r="I335" s="13">
        <v>0</v>
      </c>
      <c r="J335" s="13">
        <v>21780</v>
      </c>
      <c r="K335" s="5">
        <v>41791</v>
      </c>
    </row>
    <row r="336" spans="1:11" x14ac:dyDescent="0.3">
      <c r="A336" s="7" t="s">
        <v>30</v>
      </c>
      <c r="B336" s="8" t="s">
        <v>12</v>
      </c>
      <c r="C336" s="8" t="s">
        <v>20</v>
      </c>
      <c r="D336" s="8" t="s">
        <v>22</v>
      </c>
      <c r="E336" s="11">
        <v>2178</v>
      </c>
      <c r="F336" s="13">
        <v>250</v>
      </c>
      <c r="G336" s="13">
        <v>15</v>
      </c>
      <c r="H336" s="13">
        <v>32670</v>
      </c>
      <c r="I336" s="13">
        <v>0</v>
      </c>
      <c r="J336" s="13">
        <v>21780</v>
      </c>
      <c r="K336" s="5">
        <v>41791</v>
      </c>
    </row>
    <row r="337" spans="1:11" x14ac:dyDescent="0.3">
      <c r="A337" s="7" t="s">
        <v>15</v>
      </c>
      <c r="B337" s="8" t="s">
        <v>12</v>
      </c>
      <c r="C337" s="8" t="s">
        <v>27</v>
      </c>
      <c r="D337" s="8" t="s">
        <v>16</v>
      </c>
      <c r="E337" s="11">
        <v>1757</v>
      </c>
      <c r="F337" s="13">
        <v>5</v>
      </c>
      <c r="G337" s="13">
        <v>20</v>
      </c>
      <c r="H337" s="13">
        <v>35140</v>
      </c>
      <c r="I337" s="13">
        <v>2108.4</v>
      </c>
      <c r="J337" s="13">
        <v>17570</v>
      </c>
      <c r="K337" s="5">
        <v>41548</v>
      </c>
    </row>
    <row r="338" spans="1:11" x14ac:dyDescent="0.3">
      <c r="A338" s="7" t="s">
        <v>15</v>
      </c>
      <c r="B338" s="8" t="s">
        <v>12</v>
      </c>
      <c r="C338" s="8" t="s">
        <v>18</v>
      </c>
      <c r="D338" s="8" t="s">
        <v>16</v>
      </c>
      <c r="E338" s="11">
        <v>1757</v>
      </c>
      <c r="F338" s="13">
        <v>10</v>
      </c>
      <c r="G338" s="13">
        <v>20</v>
      </c>
      <c r="H338" s="13">
        <v>35140</v>
      </c>
      <c r="I338" s="13">
        <v>2108.4</v>
      </c>
      <c r="J338" s="13">
        <v>17570</v>
      </c>
      <c r="K338" s="5">
        <v>41548</v>
      </c>
    </row>
    <row r="339" spans="1:11" x14ac:dyDescent="0.3">
      <c r="A339" s="7" t="s">
        <v>30</v>
      </c>
      <c r="B339" s="8" t="s">
        <v>12</v>
      </c>
      <c r="C339" s="8" t="s">
        <v>18</v>
      </c>
      <c r="D339" s="8" t="s">
        <v>19</v>
      </c>
      <c r="E339" s="11">
        <v>2296</v>
      </c>
      <c r="F339" s="13">
        <v>10</v>
      </c>
      <c r="G339" s="13">
        <v>15</v>
      </c>
      <c r="H339" s="13">
        <v>34440</v>
      </c>
      <c r="I339" s="13">
        <v>344.4</v>
      </c>
      <c r="J339" s="13">
        <v>22960</v>
      </c>
      <c r="K339" s="5">
        <v>41671</v>
      </c>
    </row>
    <row r="340" spans="1:11" x14ac:dyDescent="0.3">
      <c r="A340" s="7" t="s">
        <v>30</v>
      </c>
      <c r="B340" s="8" t="s">
        <v>12</v>
      </c>
      <c r="C340" s="8" t="s">
        <v>27</v>
      </c>
      <c r="D340" s="8" t="s">
        <v>16</v>
      </c>
      <c r="E340" s="11">
        <v>2501</v>
      </c>
      <c r="F340" s="13">
        <v>5</v>
      </c>
      <c r="G340" s="13">
        <v>15</v>
      </c>
      <c r="H340" s="13">
        <v>37515</v>
      </c>
      <c r="I340" s="13">
        <v>3001.2</v>
      </c>
      <c r="J340" s="13">
        <v>25010</v>
      </c>
      <c r="K340" s="5">
        <v>41699</v>
      </c>
    </row>
    <row r="341" spans="1:11" x14ac:dyDescent="0.3">
      <c r="A341" s="7" t="s">
        <v>15</v>
      </c>
      <c r="B341" s="8" t="s">
        <v>12</v>
      </c>
      <c r="C341" s="8" t="s">
        <v>18</v>
      </c>
      <c r="D341" s="8" t="s">
        <v>14</v>
      </c>
      <c r="E341" s="11">
        <v>1954</v>
      </c>
      <c r="F341" s="13">
        <v>10</v>
      </c>
      <c r="G341" s="13">
        <v>20</v>
      </c>
      <c r="H341" s="13">
        <v>39080</v>
      </c>
      <c r="I341" s="13">
        <v>3908</v>
      </c>
      <c r="J341" s="13">
        <v>19540</v>
      </c>
      <c r="K341" s="5">
        <v>41699</v>
      </c>
    </row>
    <row r="342" spans="1:11" x14ac:dyDescent="0.3">
      <c r="A342" s="7" t="s">
        <v>30</v>
      </c>
      <c r="B342" s="8" t="s">
        <v>12</v>
      </c>
      <c r="C342" s="8" t="s">
        <v>17</v>
      </c>
      <c r="D342" s="8" t="s">
        <v>14</v>
      </c>
      <c r="E342" s="11">
        <v>2826</v>
      </c>
      <c r="F342" s="13">
        <v>120</v>
      </c>
      <c r="G342" s="13">
        <v>15</v>
      </c>
      <c r="H342" s="13">
        <v>42390</v>
      </c>
      <c r="I342" s="13">
        <v>6358.5</v>
      </c>
      <c r="J342" s="13">
        <v>28260</v>
      </c>
      <c r="K342" s="5">
        <v>41760</v>
      </c>
    </row>
    <row r="343" spans="1:11" x14ac:dyDescent="0.3">
      <c r="A343" s="7" t="s">
        <v>15</v>
      </c>
      <c r="B343" s="8" t="s">
        <v>12</v>
      </c>
      <c r="C343" s="8" t="s">
        <v>27</v>
      </c>
      <c r="D343" s="8" t="s">
        <v>16</v>
      </c>
      <c r="E343" s="11">
        <v>1976</v>
      </c>
      <c r="F343" s="13">
        <v>5</v>
      </c>
      <c r="G343" s="13">
        <v>20</v>
      </c>
      <c r="H343" s="13">
        <v>39520</v>
      </c>
      <c r="I343" s="13">
        <v>2766.4</v>
      </c>
      <c r="J343" s="13">
        <v>19760</v>
      </c>
      <c r="K343" s="5">
        <v>41913</v>
      </c>
    </row>
    <row r="344" spans="1:11" x14ac:dyDescent="0.3">
      <c r="A344" s="7" t="s">
        <v>15</v>
      </c>
      <c r="B344" s="8" t="s">
        <v>12</v>
      </c>
      <c r="C344" s="8" t="s">
        <v>17</v>
      </c>
      <c r="D344" s="8" t="s">
        <v>16</v>
      </c>
      <c r="E344" s="11">
        <v>1976</v>
      </c>
      <c r="F344" s="13">
        <v>120</v>
      </c>
      <c r="G344" s="13">
        <v>20</v>
      </c>
      <c r="H344" s="13">
        <v>39520</v>
      </c>
      <c r="I344" s="13">
        <v>2766.4</v>
      </c>
      <c r="J344" s="13">
        <v>19760</v>
      </c>
      <c r="K344" s="5">
        <v>41913</v>
      </c>
    </row>
    <row r="345" spans="1:11" x14ac:dyDescent="0.3">
      <c r="A345" s="7" t="s">
        <v>30</v>
      </c>
      <c r="B345" s="8" t="s">
        <v>12</v>
      </c>
      <c r="C345" s="8" t="s">
        <v>18</v>
      </c>
      <c r="D345" s="8" t="s">
        <v>16</v>
      </c>
      <c r="E345" s="11">
        <v>2620</v>
      </c>
      <c r="F345" s="13">
        <v>10</v>
      </c>
      <c r="G345" s="13">
        <v>15</v>
      </c>
      <c r="H345" s="13">
        <v>39300</v>
      </c>
      <c r="I345" s="13">
        <v>1965</v>
      </c>
      <c r="J345" s="13">
        <v>26200</v>
      </c>
      <c r="K345" s="5">
        <v>41883</v>
      </c>
    </row>
    <row r="346" spans="1:11" x14ac:dyDescent="0.3">
      <c r="A346" s="7" t="s">
        <v>15</v>
      </c>
      <c r="B346" s="8" t="s">
        <v>12</v>
      </c>
      <c r="C346" s="8" t="s">
        <v>13</v>
      </c>
      <c r="D346" s="8" t="s">
        <v>22</v>
      </c>
      <c r="E346" s="11">
        <v>1899</v>
      </c>
      <c r="F346" s="13">
        <v>260</v>
      </c>
      <c r="G346" s="13">
        <v>20</v>
      </c>
      <c r="H346" s="13">
        <v>37980</v>
      </c>
      <c r="I346" s="13">
        <v>0</v>
      </c>
      <c r="J346" s="13">
        <v>18990</v>
      </c>
      <c r="K346" s="5">
        <v>41791</v>
      </c>
    </row>
    <row r="347" spans="1:11" x14ac:dyDescent="0.3">
      <c r="A347" s="7" t="s">
        <v>15</v>
      </c>
      <c r="B347" s="8" t="s">
        <v>12</v>
      </c>
      <c r="C347" s="8" t="s">
        <v>27</v>
      </c>
      <c r="D347" s="8" t="s">
        <v>22</v>
      </c>
      <c r="E347" s="11">
        <v>1899</v>
      </c>
      <c r="F347" s="13">
        <v>5</v>
      </c>
      <c r="G347" s="13">
        <v>20</v>
      </c>
      <c r="H347" s="13">
        <v>37980</v>
      </c>
      <c r="I347" s="13">
        <v>0</v>
      </c>
      <c r="J347" s="13">
        <v>18990</v>
      </c>
      <c r="K347" s="5">
        <v>41791</v>
      </c>
    </row>
    <row r="348" spans="1:11" x14ac:dyDescent="0.3">
      <c r="A348" s="7" t="s">
        <v>15</v>
      </c>
      <c r="B348" s="8" t="s">
        <v>12</v>
      </c>
      <c r="C348" s="8" t="s">
        <v>21</v>
      </c>
      <c r="D348" s="8" t="s">
        <v>14</v>
      </c>
      <c r="E348" s="11">
        <v>2521.5</v>
      </c>
      <c r="F348" s="13">
        <v>3</v>
      </c>
      <c r="G348" s="13">
        <v>20</v>
      </c>
      <c r="H348" s="13">
        <v>50430</v>
      </c>
      <c r="I348" s="13">
        <v>6051.6</v>
      </c>
      <c r="J348" s="13">
        <v>25215</v>
      </c>
      <c r="K348" s="5">
        <v>41640</v>
      </c>
    </row>
    <row r="349" spans="1:11" x14ac:dyDescent="0.3">
      <c r="A349" s="7" t="s">
        <v>15</v>
      </c>
      <c r="B349" s="8" t="s">
        <v>12</v>
      </c>
      <c r="C349" s="8" t="s">
        <v>20</v>
      </c>
      <c r="D349" s="8" t="s">
        <v>16</v>
      </c>
      <c r="E349" s="11">
        <v>2682</v>
      </c>
      <c r="F349" s="13">
        <v>250</v>
      </c>
      <c r="G349" s="13">
        <v>20</v>
      </c>
      <c r="H349" s="13">
        <v>53640</v>
      </c>
      <c r="I349" s="13">
        <v>4827.6000000000004</v>
      </c>
      <c r="J349" s="13">
        <v>26820</v>
      </c>
      <c r="K349" s="5">
        <v>41579</v>
      </c>
    </row>
    <row r="350" spans="1:11" x14ac:dyDescent="0.3">
      <c r="A350" s="7" t="s">
        <v>15</v>
      </c>
      <c r="B350" s="8" t="s">
        <v>12</v>
      </c>
      <c r="C350" s="8" t="s">
        <v>17</v>
      </c>
      <c r="D350" s="8" t="s">
        <v>14</v>
      </c>
      <c r="E350" s="11">
        <v>2805</v>
      </c>
      <c r="F350" s="13">
        <v>120</v>
      </c>
      <c r="G350" s="13">
        <v>20</v>
      </c>
      <c r="H350" s="13">
        <v>56100</v>
      </c>
      <c r="I350" s="13">
        <v>6171</v>
      </c>
      <c r="J350" s="13">
        <v>28050</v>
      </c>
      <c r="K350" s="5">
        <v>41518</v>
      </c>
    </row>
    <row r="351" spans="1:11" x14ac:dyDescent="0.3">
      <c r="A351" s="7" t="s">
        <v>30</v>
      </c>
      <c r="B351" s="8" t="s">
        <v>12</v>
      </c>
      <c r="C351" s="8" t="s">
        <v>20</v>
      </c>
      <c r="D351" s="8" t="s">
        <v>14</v>
      </c>
      <c r="E351" s="11">
        <v>3874.5</v>
      </c>
      <c r="F351" s="13">
        <v>250</v>
      </c>
      <c r="G351" s="13">
        <v>15</v>
      </c>
      <c r="H351" s="13">
        <v>58117.5</v>
      </c>
      <c r="I351" s="13">
        <v>6974.0999999999995</v>
      </c>
      <c r="J351" s="13">
        <v>38745</v>
      </c>
      <c r="K351" s="5">
        <v>41821</v>
      </c>
    </row>
    <row r="352" spans="1:11" x14ac:dyDescent="0.3">
      <c r="A352" s="7" t="s">
        <v>30</v>
      </c>
      <c r="B352" s="8" t="s">
        <v>12</v>
      </c>
      <c r="C352" s="8" t="s">
        <v>17</v>
      </c>
      <c r="D352" s="8" t="s">
        <v>14</v>
      </c>
      <c r="E352" s="11">
        <v>3997.5</v>
      </c>
      <c r="F352" s="13">
        <v>120</v>
      </c>
      <c r="G352" s="13">
        <v>15</v>
      </c>
      <c r="H352" s="13">
        <v>59962.5</v>
      </c>
      <c r="I352" s="13">
        <v>7795.125</v>
      </c>
      <c r="J352" s="13">
        <v>39975</v>
      </c>
      <c r="K352" s="5">
        <v>41640</v>
      </c>
    </row>
    <row r="353" spans="1:11" x14ac:dyDescent="0.3">
      <c r="A353" s="7" t="s">
        <v>30</v>
      </c>
      <c r="B353" s="8" t="s">
        <v>12</v>
      </c>
      <c r="C353" s="8" t="s">
        <v>18</v>
      </c>
      <c r="D353" s="8" t="s">
        <v>16</v>
      </c>
      <c r="E353" s="11">
        <v>3801</v>
      </c>
      <c r="F353" s="13">
        <v>10</v>
      </c>
      <c r="G353" s="13">
        <v>15</v>
      </c>
      <c r="H353" s="13">
        <v>57015</v>
      </c>
      <c r="I353" s="13">
        <v>3420.8999999999996</v>
      </c>
      <c r="J353" s="13">
        <v>38010</v>
      </c>
      <c r="K353" s="5">
        <v>41730</v>
      </c>
    </row>
    <row r="354" spans="1:11" x14ac:dyDescent="0.3">
      <c r="A354" s="7" t="s">
        <v>28</v>
      </c>
      <c r="B354" s="8" t="s">
        <v>12</v>
      </c>
      <c r="C354" s="8" t="s">
        <v>17</v>
      </c>
      <c r="D354" s="8" t="s">
        <v>14</v>
      </c>
      <c r="E354" s="11">
        <v>663</v>
      </c>
      <c r="F354" s="13">
        <v>120</v>
      </c>
      <c r="G354" s="13">
        <v>125</v>
      </c>
      <c r="H354" s="13">
        <v>82875</v>
      </c>
      <c r="I354" s="13">
        <v>12431.25</v>
      </c>
      <c r="J354" s="13">
        <v>79560</v>
      </c>
      <c r="K354" s="5">
        <v>41883</v>
      </c>
    </row>
    <row r="355" spans="1:11" x14ac:dyDescent="0.3">
      <c r="A355" s="7" t="s">
        <v>15</v>
      </c>
      <c r="B355" s="8" t="s">
        <v>12</v>
      </c>
      <c r="C355" s="8" t="s">
        <v>17</v>
      </c>
      <c r="D355" s="8" t="s">
        <v>19</v>
      </c>
      <c r="E355" s="11">
        <v>3864</v>
      </c>
      <c r="F355" s="13">
        <v>120</v>
      </c>
      <c r="G355" s="13">
        <v>20</v>
      </c>
      <c r="H355" s="13">
        <v>77280</v>
      </c>
      <c r="I355" s="13">
        <v>772.80000000000007</v>
      </c>
      <c r="J355" s="13">
        <v>38640</v>
      </c>
      <c r="K355" s="5">
        <v>41730</v>
      </c>
    </row>
    <row r="356" spans="1:11" x14ac:dyDescent="0.3">
      <c r="A356" s="7" t="s">
        <v>28</v>
      </c>
      <c r="B356" s="8" t="s">
        <v>12</v>
      </c>
      <c r="C356" s="8" t="s">
        <v>18</v>
      </c>
      <c r="D356" s="8" t="s">
        <v>16</v>
      </c>
      <c r="E356" s="11">
        <v>704</v>
      </c>
      <c r="F356" s="13">
        <v>10</v>
      </c>
      <c r="G356" s="13">
        <v>125</v>
      </c>
      <c r="H356" s="13">
        <v>88000</v>
      </c>
      <c r="I356" s="13">
        <v>4400</v>
      </c>
      <c r="J356" s="13">
        <v>84480</v>
      </c>
      <c r="K356" s="5">
        <v>41548</v>
      </c>
    </row>
    <row r="357" spans="1:11" x14ac:dyDescent="0.3">
      <c r="A357" s="7" t="s">
        <v>28</v>
      </c>
      <c r="B357" s="8" t="s">
        <v>12</v>
      </c>
      <c r="C357" s="8" t="s">
        <v>17</v>
      </c>
      <c r="D357" s="8" t="s">
        <v>16</v>
      </c>
      <c r="E357" s="11">
        <v>704</v>
      </c>
      <c r="F357" s="13">
        <v>120</v>
      </c>
      <c r="G357" s="13">
        <v>125</v>
      </c>
      <c r="H357" s="13">
        <v>88000</v>
      </c>
      <c r="I357" s="13">
        <v>4400</v>
      </c>
      <c r="J357" s="13">
        <v>84480</v>
      </c>
      <c r="K357" s="5">
        <v>41548</v>
      </c>
    </row>
    <row r="358" spans="1:11" x14ac:dyDescent="0.3">
      <c r="A358" s="7" t="s">
        <v>11</v>
      </c>
      <c r="B358" s="8" t="s">
        <v>12</v>
      </c>
      <c r="C358" s="8" t="s">
        <v>27</v>
      </c>
      <c r="D358" s="8" t="s">
        <v>16</v>
      </c>
      <c r="E358" s="11">
        <v>322</v>
      </c>
      <c r="F358" s="13">
        <v>5</v>
      </c>
      <c r="G358" s="13">
        <v>300</v>
      </c>
      <c r="H358" s="13">
        <v>96600</v>
      </c>
      <c r="I358" s="13">
        <v>8694</v>
      </c>
      <c r="J358" s="13">
        <v>80500</v>
      </c>
      <c r="K358" s="5">
        <v>41518</v>
      </c>
    </row>
    <row r="359" spans="1:11" x14ac:dyDescent="0.3">
      <c r="A359" s="7" t="s">
        <v>28</v>
      </c>
      <c r="B359" s="8" t="s">
        <v>12</v>
      </c>
      <c r="C359" s="8" t="s">
        <v>18</v>
      </c>
      <c r="D359" s="8" t="s">
        <v>19</v>
      </c>
      <c r="E359" s="11">
        <v>787</v>
      </c>
      <c r="F359" s="13">
        <v>10</v>
      </c>
      <c r="G359" s="13">
        <v>125</v>
      </c>
      <c r="H359" s="13">
        <v>98375</v>
      </c>
      <c r="I359" s="13">
        <v>983.75</v>
      </c>
      <c r="J359" s="13">
        <v>94440</v>
      </c>
      <c r="K359" s="5">
        <v>41791</v>
      </c>
    </row>
    <row r="360" spans="1:11" x14ac:dyDescent="0.3">
      <c r="A360" s="7" t="s">
        <v>28</v>
      </c>
      <c r="B360" s="8" t="s">
        <v>12</v>
      </c>
      <c r="C360" s="8" t="s">
        <v>20</v>
      </c>
      <c r="D360" s="8" t="s">
        <v>19</v>
      </c>
      <c r="E360" s="11">
        <v>787</v>
      </c>
      <c r="F360" s="13">
        <v>250</v>
      </c>
      <c r="G360" s="13">
        <v>125</v>
      </c>
      <c r="H360" s="13">
        <v>98375</v>
      </c>
      <c r="I360" s="13">
        <v>983.75</v>
      </c>
      <c r="J360" s="13">
        <v>94440</v>
      </c>
      <c r="K360" s="5">
        <v>41791</v>
      </c>
    </row>
    <row r="361" spans="1:11" x14ac:dyDescent="0.3">
      <c r="A361" s="7" t="s">
        <v>11</v>
      </c>
      <c r="B361" s="8" t="s">
        <v>12</v>
      </c>
      <c r="C361" s="8" t="s">
        <v>17</v>
      </c>
      <c r="D361" s="8" t="s">
        <v>16</v>
      </c>
      <c r="E361" s="11">
        <v>386</v>
      </c>
      <c r="F361" s="13">
        <v>120</v>
      </c>
      <c r="G361" s="13">
        <v>300</v>
      </c>
      <c r="H361" s="13">
        <v>115800</v>
      </c>
      <c r="I361" s="13">
        <v>9264</v>
      </c>
      <c r="J361" s="13">
        <v>96500</v>
      </c>
      <c r="K361" s="5">
        <v>41579</v>
      </c>
    </row>
    <row r="362" spans="1:11" x14ac:dyDescent="0.3">
      <c r="A362" s="7" t="s">
        <v>28</v>
      </c>
      <c r="B362" s="8" t="s">
        <v>12</v>
      </c>
      <c r="C362" s="8" t="s">
        <v>21</v>
      </c>
      <c r="D362" s="8" t="s">
        <v>14</v>
      </c>
      <c r="E362" s="11">
        <v>1023</v>
      </c>
      <c r="F362" s="13">
        <v>3</v>
      </c>
      <c r="G362" s="13">
        <v>125</v>
      </c>
      <c r="H362" s="13">
        <v>127875</v>
      </c>
      <c r="I362" s="13">
        <v>17902.5</v>
      </c>
      <c r="J362" s="13">
        <v>122760</v>
      </c>
      <c r="K362" s="5">
        <v>41518</v>
      </c>
    </row>
    <row r="363" spans="1:11" x14ac:dyDescent="0.3">
      <c r="A363" s="7" t="s">
        <v>15</v>
      </c>
      <c r="B363" s="8" t="s">
        <v>12</v>
      </c>
      <c r="C363" s="8" t="s">
        <v>20</v>
      </c>
      <c r="D363" s="8" t="s">
        <v>16</v>
      </c>
      <c r="E363" s="11">
        <v>381</v>
      </c>
      <c r="F363" s="13">
        <v>250</v>
      </c>
      <c r="G363" s="13">
        <v>350</v>
      </c>
      <c r="H363" s="13">
        <v>133350</v>
      </c>
      <c r="I363" s="13">
        <v>10668</v>
      </c>
      <c r="J363" s="13">
        <v>99060</v>
      </c>
      <c r="K363" s="5">
        <v>41852</v>
      </c>
    </row>
    <row r="364" spans="1:11" x14ac:dyDescent="0.3">
      <c r="A364" s="7" t="s">
        <v>28</v>
      </c>
      <c r="B364" s="8" t="s">
        <v>12</v>
      </c>
      <c r="C364" s="8" t="s">
        <v>21</v>
      </c>
      <c r="D364" s="8" t="s">
        <v>14</v>
      </c>
      <c r="E364" s="11">
        <v>1174</v>
      </c>
      <c r="F364" s="13">
        <v>3</v>
      </c>
      <c r="G364" s="13">
        <v>125</v>
      </c>
      <c r="H364" s="13">
        <v>146750</v>
      </c>
      <c r="I364" s="13">
        <v>22012.5</v>
      </c>
      <c r="J364" s="13">
        <v>140880</v>
      </c>
      <c r="K364" s="5">
        <v>41852</v>
      </c>
    </row>
    <row r="365" spans="1:11" x14ac:dyDescent="0.3">
      <c r="A365" s="7" t="s">
        <v>11</v>
      </c>
      <c r="B365" s="8" t="s">
        <v>12</v>
      </c>
      <c r="C365" s="8" t="s">
        <v>21</v>
      </c>
      <c r="D365" s="8" t="s">
        <v>16</v>
      </c>
      <c r="E365" s="11">
        <v>448</v>
      </c>
      <c r="F365" s="13">
        <v>3</v>
      </c>
      <c r="G365" s="13">
        <v>300</v>
      </c>
      <c r="H365" s="13">
        <v>134400</v>
      </c>
      <c r="I365" s="13">
        <v>9408</v>
      </c>
      <c r="J365" s="13">
        <v>112000</v>
      </c>
      <c r="K365" s="5">
        <v>41791</v>
      </c>
    </row>
    <row r="366" spans="1:11" x14ac:dyDescent="0.3">
      <c r="A366" s="7" t="s">
        <v>11</v>
      </c>
      <c r="B366" s="8" t="s">
        <v>12</v>
      </c>
      <c r="C366" s="8" t="s">
        <v>18</v>
      </c>
      <c r="D366" s="8" t="s">
        <v>16</v>
      </c>
      <c r="E366" s="11">
        <v>448</v>
      </c>
      <c r="F366" s="13">
        <v>10</v>
      </c>
      <c r="G366" s="13">
        <v>300</v>
      </c>
      <c r="H366" s="13">
        <v>134400</v>
      </c>
      <c r="I366" s="13">
        <v>9408</v>
      </c>
      <c r="J366" s="13">
        <v>112000</v>
      </c>
      <c r="K366" s="5">
        <v>41791</v>
      </c>
    </row>
    <row r="367" spans="1:11" x14ac:dyDescent="0.3">
      <c r="A367" s="7" t="s">
        <v>28</v>
      </c>
      <c r="B367" s="8" t="s">
        <v>12</v>
      </c>
      <c r="C367" s="8" t="s">
        <v>27</v>
      </c>
      <c r="D367" s="8" t="s">
        <v>19</v>
      </c>
      <c r="E367" s="11">
        <v>1287</v>
      </c>
      <c r="F367" s="13">
        <v>5</v>
      </c>
      <c r="G367" s="13">
        <v>125</v>
      </c>
      <c r="H367" s="13">
        <v>160875</v>
      </c>
      <c r="I367" s="13">
        <v>4826.25</v>
      </c>
      <c r="J367" s="13">
        <v>154440</v>
      </c>
      <c r="K367" s="5">
        <v>41974</v>
      </c>
    </row>
    <row r="368" spans="1:11" x14ac:dyDescent="0.3">
      <c r="A368" s="7" t="s">
        <v>28</v>
      </c>
      <c r="B368" s="8" t="s">
        <v>12</v>
      </c>
      <c r="C368" s="8" t="s">
        <v>18</v>
      </c>
      <c r="D368" s="8" t="s">
        <v>19</v>
      </c>
      <c r="E368" s="11">
        <v>1287</v>
      </c>
      <c r="F368" s="13">
        <v>10</v>
      </c>
      <c r="G368" s="13">
        <v>125</v>
      </c>
      <c r="H368" s="13">
        <v>160875</v>
      </c>
      <c r="I368" s="13">
        <v>4826.25</v>
      </c>
      <c r="J368" s="13">
        <v>154440</v>
      </c>
      <c r="K368" s="5">
        <v>41974</v>
      </c>
    </row>
    <row r="369" spans="1:11" x14ac:dyDescent="0.3">
      <c r="A369" s="7" t="s">
        <v>28</v>
      </c>
      <c r="B369" s="8" t="s">
        <v>12</v>
      </c>
      <c r="C369" s="8" t="s">
        <v>13</v>
      </c>
      <c r="D369" s="8" t="s">
        <v>14</v>
      </c>
      <c r="E369" s="11">
        <v>1433</v>
      </c>
      <c r="F369" s="13">
        <v>260</v>
      </c>
      <c r="G369" s="13">
        <v>125</v>
      </c>
      <c r="H369" s="13">
        <v>179125</v>
      </c>
      <c r="I369" s="13">
        <v>19703.75</v>
      </c>
      <c r="J369" s="13">
        <v>171960</v>
      </c>
      <c r="K369" s="5">
        <v>41760</v>
      </c>
    </row>
    <row r="370" spans="1:11" x14ac:dyDescent="0.3">
      <c r="A370" s="7" t="s">
        <v>30</v>
      </c>
      <c r="B370" s="8" t="s">
        <v>23</v>
      </c>
      <c r="C370" s="8" t="s">
        <v>20</v>
      </c>
      <c r="D370" s="8" t="s">
        <v>14</v>
      </c>
      <c r="E370" s="11">
        <v>492</v>
      </c>
      <c r="F370" s="13">
        <v>250</v>
      </c>
      <c r="G370" s="13">
        <v>15</v>
      </c>
      <c r="H370" s="13">
        <v>7380</v>
      </c>
      <c r="I370" s="13">
        <v>1107</v>
      </c>
      <c r="J370" s="13">
        <v>4920</v>
      </c>
      <c r="K370" s="5">
        <v>41821</v>
      </c>
    </row>
    <row r="371" spans="1:11" x14ac:dyDescent="0.3">
      <c r="A371" s="7" t="s">
        <v>15</v>
      </c>
      <c r="B371" s="8" t="s">
        <v>23</v>
      </c>
      <c r="C371" s="8" t="s">
        <v>21</v>
      </c>
      <c r="D371" s="8" t="s">
        <v>16</v>
      </c>
      <c r="E371" s="11">
        <v>1016</v>
      </c>
      <c r="F371" s="13">
        <v>3</v>
      </c>
      <c r="G371" s="13">
        <v>7</v>
      </c>
      <c r="H371" s="13">
        <v>7112</v>
      </c>
      <c r="I371" s="13">
        <v>355.6</v>
      </c>
      <c r="J371" s="13">
        <v>5080</v>
      </c>
      <c r="K371" s="5">
        <v>41579</v>
      </c>
    </row>
    <row r="372" spans="1:11" x14ac:dyDescent="0.3">
      <c r="A372" s="7" t="s">
        <v>30</v>
      </c>
      <c r="B372" s="8" t="s">
        <v>23</v>
      </c>
      <c r="C372" s="8" t="s">
        <v>17</v>
      </c>
      <c r="D372" s="8" t="s">
        <v>14</v>
      </c>
      <c r="E372" s="11">
        <v>510</v>
      </c>
      <c r="F372" s="13">
        <v>120</v>
      </c>
      <c r="G372" s="13">
        <v>15</v>
      </c>
      <c r="H372" s="13">
        <v>7650</v>
      </c>
      <c r="I372" s="13">
        <v>765</v>
      </c>
      <c r="J372" s="13">
        <v>5100</v>
      </c>
      <c r="K372" s="5">
        <v>41730</v>
      </c>
    </row>
    <row r="373" spans="1:11" x14ac:dyDescent="0.3">
      <c r="A373" s="7" t="s">
        <v>15</v>
      </c>
      <c r="B373" s="8" t="s">
        <v>23</v>
      </c>
      <c r="C373" s="8" t="s">
        <v>18</v>
      </c>
      <c r="D373" s="8" t="s">
        <v>16</v>
      </c>
      <c r="E373" s="11">
        <v>1095</v>
      </c>
      <c r="F373" s="13">
        <v>10</v>
      </c>
      <c r="G373" s="13">
        <v>7</v>
      </c>
      <c r="H373" s="13">
        <v>7665</v>
      </c>
      <c r="I373" s="13">
        <v>613.20000000000005</v>
      </c>
      <c r="J373" s="13">
        <v>5475</v>
      </c>
      <c r="K373" s="5">
        <v>41760</v>
      </c>
    </row>
    <row r="374" spans="1:11" x14ac:dyDescent="0.3">
      <c r="A374" s="7" t="s">
        <v>15</v>
      </c>
      <c r="B374" s="8" t="s">
        <v>23</v>
      </c>
      <c r="C374" s="8" t="s">
        <v>21</v>
      </c>
      <c r="D374" s="8" t="s">
        <v>14</v>
      </c>
      <c r="E374" s="11">
        <v>442</v>
      </c>
      <c r="F374" s="13">
        <v>3</v>
      </c>
      <c r="G374" s="13">
        <v>20</v>
      </c>
      <c r="H374" s="13">
        <v>8840</v>
      </c>
      <c r="I374" s="13">
        <v>1149.2</v>
      </c>
      <c r="J374" s="13">
        <v>4420</v>
      </c>
      <c r="K374" s="5">
        <v>41518</v>
      </c>
    </row>
    <row r="375" spans="1:11" x14ac:dyDescent="0.3">
      <c r="A375" s="7" t="s">
        <v>15</v>
      </c>
      <c r="B375" s="8" t="s">
        <v>23</v>
      </c>
      <c r="C375" s="8" t="s">
        <v>13</v>
      </c>
      <c r="D375" s="8" t="s">
        <v>16</v>
      </c>
      <c r="E375" s="11">
        <v>1159</v>
      </c>
      <c r="F375" s="13">
        <v>260</v>
      </c>
      <c r="G375" s="13">
        <v>7</v>
      </c>
      <c r="H375" s="13">
        <v>8113</v>
      </c>
      <c r="I375" s="13">
        <v>405.65</v>
      </c>
      <c r="J375" s="13">
        <v>5795</v>
      </c>
      <c r="K375" s="5">
        <v>41548</v>
      </c>
    </row>
    <row r="376" spans="1:11" x14ac:dyDescent="0.3">
      <c r="A376" s="7" t="s">
        <v>15</v>
      </c>
      <c r="B376" s="8" t="s">
        <v>23</v>
      </c>
      <c r="C376" s="8" t="s">
        <v>27</v>
      </c>
      <c r="D376" s="8" t="s">
        <v>16</v>
      </c>
      <c r="E376" s="11">
        <v>1159</v>
      </c>
      <c r="F376" s="13">
        <v>5</v>
      </c>
      <c r="G376" s="13">
        <v>7</v>
      </c>
      <c r="H376" s="13">
        <v>8113</v>
      </c>
      <c r="I376" s="13">
        <v>405.65</v>
      </c>
      <c r="J376" s="13">
        <v>5795</v>
      </c>
      <c r="K376" s="5">
        <v>41548</v>
      </c>
    </row>
    <row r="377" spans="1:11" x14ac:dyDescent="0.3">
      <c r="A377" s="7" t="s">
        <v>15</v>
      </c>
      <c r="B377" s="8" t="s">
        <v>23</v>
      </c>
      <c r="C377" s="8" t="s">
        <v>18</v>
      </c>
      <c r="D377" s="8" t="s">
        <v>16</v>
      </c>
      <c r="E377" s="11">
        <v>1259</v>
      </c>
      <c r="F377" s="13">
        <v>10</v>
      </c>
      <c r="G377" s="13">
        <v>7</v>
      </c>
      <c r="H377" s="13">
        <v>8813</v>
      </c>
      <c r="I377" s="13">
        <v>705.04</v>
      </c>
      <c r="J377" s="13">
        <v>6295</v>
      </c>
      <c r="K377" s="5">
        <v>41730</v>
      </c>
    </row>
    <row r="378" spans="1:11" x14ac:dyDescent="0.3">
      <c r="A378" s="7" t="s">
        <v>30</v>
      </c>
      <c r="B378" s="8" t="s">
        <v>23</v>
      </c>
      <c r="C378" s="8" t="s">
        <v>17</v>
      </c>
      <c r="D378" s="8" t="s">
        <v>14</v>
      </c>
      <c r="E378" s="11">
        <v>660</v>
      </c>
      <c r="F378" s="13">
        <v>120</v>
      </c>
      <c r="G378" s="13">
        <v>15</v>
      </c>
      <c r="H378" s="13">
        <v>9900</v>
      </c>
      <c r="I378" s="13">
        <v>1287</v>
      </c>
      <c r="J378" s="13">
        <v>6600</v>
      </c>
      <c r="K378" s="5">
        <v>41518</v>
      </c>
    </row>
    <row r="379" spans="1:11" x14ac:dyDescent="0.3">
      <c r="A379" s="7" t="s">
        <v>29</v>
      </c>
      <c r="B379" s="8" t="s">
        <v>23</v>
      </c>
      <c r="C379" s="8" t="s">
        <v>21</v>
      </c>
      <c r="D379" s="8" t="s">
        <v>19</v>
      </c>
      <c r="E379" s="11">
        <v>766</v>
      </c>
      <c r="F379" s="13">
        <v>3</v>
      </c>
      <c r="G379" s="13">
        <v>12</v>
      </c>
      <c r="H379" s="13">
        <v>9192</v>
      </c>
      <c r="I379" s="13">
        <v>91.92</v>
      </c>
      <c r="J379" s="13">
        <v>2298</v>
      </c>
      <c r="K379" s="5">
        <v>41548</v>
      </c>
    </row>
    <row r="380" spans="1:11" x14ac:dyDescent="0.3">
      <c r="A380" s="7" t="s">
        <v>29</v>
      </c>
      <c r="B380" s="8" t="s">
        <v>23</v>
      </c>
      <c r="C380" s="8" t="s">
        <v>18</v>
      </c>
      <c r="D380" s="8" t="s">
        <v>19</v>
      </c>
      <c r="E380" s="11">
        <v>766</v>
      </c>
      <c r="F380" s="13">
        <v>10</v>
      </c>
      <c r="G380" s="13">
        <v>12</v>
      </c>
      <c r="H380" s="13">
        <v>9192</v>
      </c>
      <c r="I380" s="13">
        <v>91.92</v>
      </c>
      <c r="J380" s="13">
        <v>2298</v>
      </c>
      <c r="K380" s="5">
        <v>41548</v>
      </c>
    </row>
    <row r="381" spans="1:11" x14ac:dyDescent="0.3">
      <c r="A381" s="7" t="s">
        <v>15</v>
      </c>
      <c r="B381" s="8" t="s">
        <v>23</v>
      </c>
      <c r="C381" s="8" t="s">
        <v>18</v>
      </c>
      <c r="D381" s="8" t="s">
        <v>16</v>
      </c>
      <c r="E381" s="11">
        <v>1372</v>
      </c>
      <c r="F381" s="13">
        <v>10</v>
      </c>
      <c r="G381" s="13">
        <v>7</v>
      </c>
      <c r="H381" s="13">
        <v>9604</v>
      </c>
      <c r="I381" s="13">
        <v>480.2</v>
      </c>
      <c r="J381" s="13">
        <v>6860</v>
      </c>
      <c r="K381" s="5">
        <v>41640</v>
      </c>
    </row>
    <row r="382" spans="1:11" x14ac:dyDescent="0.3">
      <c r="A382" s="7" t="s">
        <v>30</v>
      </c>
      <c r="B382" s="8" t="s">
        <v>23</v>
      </c>
      <c r="C382" s="8" t="s">
        <v>17</v>
      </c>
      <c r="D382" s="8" t="s">
        <v>14</v>
      </c>
      <c r="E382" s="11">
        <v>681</v>
      </c>
      <c r="F382" s="13">
        <v>120</v>
      </c>
      <c r="G382" s="13">
        <v>15</v>
      </c>
      <c r="H382" s="13">
        <v>10215</v>
      </c>
      <c r="I382" s="13">
        <v>1021.5</v>
      </c>
      <c r="J382" s="13">
        <v>6810</v>
      </c>
      <c r="K382" s="5">
        <v>41640</v>
      </c>
    </row>
    <row r="383" spans="1:11" x14ac:dyDescent="0.3">
      <c r="A383" s="7" t="s">
        <v>29</v>
      </c>
      <c r="B383" s="8" t="s">
        <v>23</v>
      </c>
      <c r="C383" s="8" t="s">
        <v>20</v>
      </c>
      <c r="D383" s="8" t="s">
        <v>16</v>
      </c>
      <c r="E383" s="11">
        <v>880</v>
      </c>
      <c r="F383" s="13">
        <v>250</v>
      </c>
      <c r="G383" s="13">
        <v>12</v>
      </c>
      <c r="H383" s="13">
        <v>10560</v>
      </c>
      <c r="I383" s="13">
        <v>950.4</v>
      </c>
      <c r="J383" s="13">
        <v>2640</v>
      </c>
      <c r="K383" s="5">
        <v>41760</v>
      </c>
    </row>
    <row r="384" spans="1:11" x14ac:dyDescent="0.3">
      <c r="A384" s="7" t="s">
        <v>30</v>
      </c>
      <c r="B384" s="8" t="s">
        <v>23</v>
      </c>
      <c r="C384" s="8" t="s">
        <v>13</v>
      </c>
      <c r="D384" s="8" t="s">
        <v>16</v>
      </c>
      <c r="E384" s="11">
        <v>711</v>
      </c>
      <c r="F384" s="13">
        <v>260</v>
      </c>
      <c r="G384" s="13">
        <v>15</v>
      </c>
      <c r="H384" s="13">
        <v>10665</v>
      </c>
      <c r="I384" s="13">
        <v>853.2</v>
      </c>
      <c r="J384" s="13">
        <v>7110</v>
      </c>
      <c r="K384" s="5">
        <v>41974</v>
      </c>
    </row>
    <row r="385" spans="1:11" x14ac:dyDescent="0.3">
      <c r="A385" s="7" t="s">
        <v>30</v>
      </c>
      <c r="B385" s="8" t="s">
        <v>23</v>
      </c>
      <c r="C385" s="8" t="s">
        <v>27</v>
      </c>
      <c r="D385" s="8" t="s">
        <v>16</v>
      </c>
      <c r="E385" s="11">
        <v>711</v>
      </c>
      <c r="F385" s="13">
        <v>5</v>
      </c>
      <c r="G385" s="13">
        <v>15</v>
      </c>
      <c r="H385" s="13">
        <v>10665</v>
      </c>
      <c r="I385" s="13">
        <v>853.2</v>
      </c>
      <c r="J385" s="13">
        <v>7110</v>
      </c>
      <c r="K385" s="5">
        <v>41974</v>
      </c>
    </row>
    <row r="386" spans="1:11" x14ac:dyDescent="0.3">
      <c r="A386" s="7" t="s">
        <v>15</v>
      </c>
      <c r="B386" s="8" t="s">
        <v>23</v>
      </c>
      <c r="C386" s="8" t="s">
        <v>18</v>
      </c>
      <c r="D386" s="8" t="s">
        <v>16</v>
      </c>
      <c r="E386" s="11">
        <v>1598</v>
      </c>
      <c r="F386" s="13">
        <v>10</v>
      </c>
      <c r="G386" s="13">
        <v>7</v>
      </c>
      <c r="H386" s="13">
        <v>11186</v>
      </c>
      <c r="I386" s="13">
        <v>894.88</v>
      </c>
      <c r="J386" s="13">
        <v>7990</v>
      </c>
      <c r="K386" s="5">
        <v>41852</v>
      </c>
    </row>
    <row r="387" spans="1:11" x14ac:dyDescent="0.3">
      <c r="A387" s="7" t="s">
        <v>29</v>
      </c>
      <c r="B387" s="8" t="s">
        <v>23</v>
      </c>
      <c r="C387" s="8" t="s">
        <v>18</v>
      </c>
      <c r="D387" s="8" t="s">
        <v>14</v>
      </c>
      <c r="E387" s="11">
        <v>1013</v>
      </c>
      <c r="F387" s="13">
        <v>10</v>
      </c>
      <c r="G387" s="13">
        <v>12</v>
      </c>
      <c r="H387" s="13">
        <v>12156</v>
      </c>
      <c r="I387" s="13">
        <v>1580.28</v>
      </c>
      <c r="J387" s="13">
        <v>3039</v>
      </c>
      <c r="K387" s="5">
        <v>41974</v>
      </c>
    </row>
    <row r="388" spans="1:11" x14ac:dyDescent="0.3">
      <c r="A388" s="7" t="s">
        <v>29</v>
      </c>
      <c r="B388" s="8" t="s">
        <v>23</v>
      </c>
      <c r="C388" s="8" t="s">
        <v>17</v>
      </c>
      <c r="D388" s="8" t="s">
        <v>14</v>
      </c>
      <c r="E388" s="11">
        <v>1013</v>
      </c>
      <c r="F388" s="13">
        <v>120</v>
      </c>
      <c r="G388" s="13">
        <v>12</v>
      </c>
      <c r="H388" s="13">
        <v>12156</v>
      </c>
      <c r="I388" s="13">
        <v>1580.28</v>
      </c>
      <c r="J388" s="13">
        <v>3039</v>
      </c>
      <c r="K388" s="5">
        <v>41974</v>
      </c>
    </row>
    <row r="389" spans="1:11" x14ac:dyDescent="0.3">
      <c r="A389" s="7" t="s">
        <v>15</v>
      </c>
      <c r="B389" s="8" t="s">
        <v>23</v>
      </c>
      <c r="C389" s="8" t="s">
        <v>17</v>
      </c>
      <c r="D389" s="8" t="s">
        <v>16</v>
      </c>
      <c r="E389" s="11">
        <v>588</v>
      </c>
      <c r="F389" s="13">
        <v>120</v>
      </c>
      <c r="G389" s="13">
        <v>20</v>
      </c>
      <c r="H389" s="13">
        <v>11760</v>
      </c>
      <c r="I389" s="13">
        <v>823.2</v>
      </c>
      <c r="J389" s="13">
        <v>5880</v>
      </c>
      <c r="K389" s="5">
        <v>41609</v>
      </c>
    </row>
    <row r="390" spans="1:11" x14ac:dyDescent="0.3">
      <c r="A390" s="7" t="s">
        <v>30</v>
      </c>
      <c r="B390" s="8" t="s">
        <v>23</v>
      </c>
      <c r="C390" s="8" t="s">
        <v>18</v>
      </c>
      <c r="D390" s="8" t="s">
        <v>19</v>
      </c>
      <c r="E390" s="11">
        <v>747</v>
      </c>
      <c r="F390" s="13">
        <v>10</v>
      </c>
      <c r="G390" s="13">
        <v>15</v>
      </c>
      <c r="H390" s="13">
        <v>11205</v>
      </c>
      <c r="I390" s="13">
        <v>112.05</v>
      </c>
      <c r="J390" s="13">
        <v>7470</v>
      </c>
      <c r="K390" s="5">
        <v>41883</v>
      </c>
    </row>
    <row r="391" spans="1:11" x14ac:dyDescent="0.3">
      <c r="A391" s="7" t="s">
        <v>15</v>
      </c>
      <c r="B391" s="8" t="s">
        <v>23</v>
      </c>
      <c r="C391" s="8" t="s">
        <v>13</v>
      </c>
      <c r="D391" s="8" t="s">
        <v>22</v>
      </c>
      <c r="E391" s="11">
        <v>1686</v>
      </c>
      <c r="F391" s="13">
        <v>260</v>
      </c>
      <c r="G391" s="13">
        <v>7</v>
      </c>
      <c r="H391" s="13">
        <v>11802</v>
      </c>
      <c r="I391" s="13">
        <v>0</v>
      </c>
      <c r="J391" s="13">
        <v>8430</v>
      </c>
      <c r="K391" s="5">
        <v>41821</v>
      </c>
    </row>
    <row r="392" spans="1:11" x14ac:dyDescent="0.3">
      <c r="A392" s="7" t="s">
        <v>15</v>
      </c>
      <c r="B392" s="8" t="s">
        <v>23</v>
      </c>
      <c r="C392" s="8" t="s">
        <v>27</v>
      </c>
      <c r="D392" s="8" t="s">
        <v>16</v>
      </c>
      <c r="E392" s="11">
        <v>645</v>
      </c>
      <c r="F392" s="13">
        <v>5</v>
      </c>
      <c r="G392" s="13">
        <v>20</v>
      </c>
      <c r="H392" s="13">
        <v>12900</v>
      </c>
      <c r="I392" s="13">
        <v>1032</v>
      </c>
      <c r="J392" s="13">
        <v>6450</v>
      </c>
      <c r="K392" s="5">
        <v>41821</v>
      </c>
    </row>
    <row r="393" spans="1:11" x14ac:dyDescent="0.3">
      <c r="A393" s="7" t="s">
        <v>15</v>
      </c>
      <c r="B393" s="8" t="s">
        <v>23</v>
      </c>
      <c r="C393" s="8" t="s">
        <v>21</v>
      </c>
      <c r="D393" s="8" t="s">
        <v>16</v>
      </c>
      <c r="E393" s="11">
        <v>663</v>
      </c>
      <c r="F393" s="13">
        <v>3</v>
      </c>
      <c r="G393" s="13">
        <v>20</v>
      </c>
      <c r="H393" s="13">
        <v>13260</v>
      </c>
      <c r="I393" s="13">
        <v>1193.4000000000001</v>
      </c>
      <c r="J393" s="13">
        <v>6630</v>
      </c>
      <c r="K393" s="5">
        <v>41760</v>
      </c>
    </row>
    <row r="394" spans="1:11" x14ac:dyDescent="0.3">
      <c r="A394" s="7" t="s">
        <v>29</v>
      </c>
      <c r="B394" s="8" t="s">
        <v>23</v>
      </c>
      <c r="C394" s="8" t="s">
        <v>21</v>
      </c>
      <c r="D394" s="8" t="s">
        <v>16</v>
      </c>
      <c r="E394" s="11">
        <v>1116</v>
      </c>
      <c r="F394" s="13">
        <v>3</v>
      </c>
      <c r="G394" s="13">
        <v>12</v>
      </c>
      <c r="H394" s="13">
        <v>13392</v>
      </c>
      <c r="I394" s="13">
        <v>669.6</v>
      </c>
      <c r="J394" s="13">
        <v>3348</v>
      </c>
      <c r="K394" s="5">
        <v>41671</v>
      </c>
    </row>
    <row r="395" spans="1:11" x14ac:dyDescent="0.3">
      <c r="A395" s="7" t="s">
        <v>30</v>
      </c>
      <c r="B395" s="8" t="s">
        <v>23</v>
      </c>
      <c r="C395" s="8" t="s">
        <v>13</v>
      </c>
      <c r="D395" s="8" t="s">
        <v>16</v>
      </c>
      <c r="E395" s="11">
        <v>970</v>
      </c>
      <c r="F395" s="13">
        <v>260</v>
      </c>
      <c r="G395" s="13">
        <v>15</v>
      </c>
      <c r="H395" s="13">
        <v>14550</v>
      </c>
      <c r="I395" s="13">
        <v>1309.5</v>
      </c>
      <c r="J395" s="13">
        <v>9700</v>
      </c>
      <c r="K395" s="5">
        <v>41579</v>
      </c>
    </row>
    <row r="396" spans="1:11" x14ac:dyDescent="0.3">
      <c r="A396" s="7" t="s">
        <v>15</v>
      </c>
      <c r="B396" s="8" t="s">
        <v>23</v>
      </c>
      <c r="C396" s="8" t="s">
        <v>27</v>
      </c>
      <c r="D396" s="8" t="s">
        <v>19</v>
      </c>
      <c r="E396" s="11">
        <v>1958</v>
      </c>
      <c r="F396" s="13">
        <v>5</v>
      </c>
      <c r="G396" s="13">
        <v>7</v>
      </c>
      <c r="H396" s="13">
        <v>13706</v>
      </c>
      <c r="I396" s="13">
        <v>411.18</v>
      </c>
      <c r="J396" s="13">
        <v>9790</v>
      </c>
      <c r="K396" s="5">
        <v>41671</v>
      </c>
    </row>
    <row r="397" spans="1:11" x14ac:dyDescent="0.3">
      <c r="A397" s="7" t="s">
        <v>30</v>
      </c>
      <c r="B397" s="8" t="s">
        <v>23</v>
      </c>
      <c r="C397" s="8" t="s">
        <v>21</v>
      </c>
      <c r="D397" s="8" t="s">
        <v>22</v>
      </c>
      <c r="E397" s="11">
        <v>888</v>
      </c>
      <c r="F397" s="13">
        <v>3</v>
      </c>
      <c r="G397" s="13">
        <v>15</v>
      </c>
      <c r="H397" s="13">
        <v>13320</v>
      </c>
      <c r="I397" s="13">
        <v>0</v>
      </c>
      <c r="J397" s="13">
        <v>8880</v>
      </c>
      <c r="K397" s="5">
        <v>41791</v>
      </c>
    </row>
    <row r="398" spans="1:11" x14ac:dyDescent="0.3">
      <c r="A398" s="7" t="s">
        <v>30</v>
      </c>
      <c r="B398" s="8" t="s">
        <v>23</v>
      </c>
      <c r="C398" s="8" t="s">
        <v>20</v>
      </c>
      <c r="D398" s="8" t="s">
        <v>22</v>
      </c>
      <c r="E398" s="11">
        <v>888</v>
      </c>
      <c r="F398" s="13">
        <v>250</v>
      </c>
      <c r="G398" s="13">
        <v>15</v>
      </c>
      <c r="H398" s="13">
        <v>13320</v>
      </c>
      <c r="I398" s="13">
        <v>0</v>
      </c>
      <c r="J398" s="13">
        <v>8880</v>
      </c>
      <c r="K398" s="5">
        <v>41791</v>
      </c>
    </row>
    <row r="399" spans="1:11" x14ac:dyDescent="0.3">
      <c r="A399" s="7" t="s">
        <v>30</v>
      </c>
      <c r="B399" s="8" t="s">
        <v>23</v>
      </c>
      <c r="C399" s="8" t="s">
        <v>27</v>
      </c>
      <c r="D399" s="8" t="s">
        <v>22</v>
      </c>
      <c r="E399" s="11">
        <v>921</v>
      </c>
      <c r="F399" s="13">
        <v>5</v>
      </c>
      <c r="G399" s="13">
        <v>15</v>
      </c>
      <c r="H399" s="13">
        <v>13815</v>
      </c>
      <c r="I399" s="13">
        <v>0</v>
      </c>
      <c r="J399" s="13">
        <v>9210</v>
      </c>
      <c r="K399" s="5">
        <v>41699</v>
      </c>
    </row>
    <row r="400" spans="1:11" x14ac:dyDescent="0.3">
      <c r="A400" s="7" t="s">
        <v>15</v>
      </c>
      <c r="B400" s="8" t="s">
        <v>23</v>
      </c>
      <c r="C400" s="8" t="s">
        <v>18</v>
      </c>
      <c r="D400" s="8" t="s">
        <v>16</v>
      </c>
      <c r="E400" s="11">
        <v>2125</v>
      </c>
      <c r="F400" s="13">
        <v>10</v>
      </c>
      <c r="G400" s="13">
        <v>7</v>
      </c>
      <c r="H400" s="13">
        <v>14875</v>
      </c>
      <c r="I400" s="13">
        <v>1041.25</v>
      </c>
      <c r="J400" s="13">
        <v>10625</v>
      </c>
      <c r="K400" s="5">
        <v>41609</v>
      </c>
    </row>
    <row r="401" spans="1:11" x14ac:dyDescent="0.3">
      <c r="A401" s="7" t="s">
        <v>30</v>
      </c>
      <c r="B401" s="8" t="s">
        <v>23</v>
      </c>
      <c r="C401" s="8" t="s">
        <v>18</v>
      </c>
      <c r="D401" s="8" t="s">
        <v>14</v>
      </c>
      <c r="E401" s="11">
        <v>1175</v>
      </c>
      <c r="F401" s="13">
        <v>10</v>
      </c>
      <c r="G401" s="13">
        <v>15</v>
      </c>
      <c r="H401" s="13">
        <v>17625</v>
      </c>
      <c r="I401" s="13">
        <v>2643.75</v>
      </c>
      <c r="J401" s="13">
        <v>11750</v>
      </c>
      <c r="K401" s="5">
        <v>41913</v>
      </c>
    </row>
    <row r="402" spans="1:11" x14ac:dyDescent="0.3">
      <c r="A402" s="7" t="s">
        <v>30</v>
      </c>
      <c r="B402" s="8" t="s">
        <v>23</v>
      </c>
      <c r="C402" s="8" t="s">
        <v>20</v>
      </c>
      <c r="D402" s="8" t="s">
        <v>14</v>
      </c>
      <c r="E402" s="11">
        <v>1175</v>
      </c>
      <c r="F402" s="13">
        <v>250</v>
      </c>
      <c r="G402" s="13">
        <v>15</v>
      </c>
      <c r="H402" s="13">
        <v>17625</v>
      </c>
      <c r="I402" s="13">
        <v>2643.75</v>
      </c>
      <c r="J402" s="13">
        <v>11750</v>
      </c>
      <c r="K402" s="5">
        <v>41913</v>
      </c>
    </row>
    <row r="403" spans="1:11" x14ac:dyDescent="0.3">
      <c r="A403" s="7" t="s">
        <v>15</v>
      </c>
      <c r="B403" s="8" t="s">
        <v>23</v>
      </c>
      <c r="C403" s="8" t="s">
        <v>27</v>
      </c>
      <c r="D403" s="8" t="s">
        <v>22</v>
      </c>
      <c r="E403" s="11">
        <v>2146</v>
      </c>
      <c r="F403" s="13">
        <v>5</v>
      </c>
      <c r="G403" s="13">
        <v>7</v>
      </c>
      <c r="H403" s="13">
        <v>15022</v>
      </c>
      <c r="I403" s="13">
        <v>0</v>
      </c>
      <c r="J403" s="13">
        <v>10730</v>
      </c>
      <c r="K403" s="5">
        <v>41883</v>
      </c>
    </row>
    <row r="404" spans="1:11" x14ac:dyDescent="0.3">
      <c r="A404" s="7" t="s">
        <v>15</v>
      </c>
      <c r="B404" s="8" t="s">
        <v>23</v>
      </c>
      <c r="C404" s="8" t="s">
        <v>17</v>
      </c>
      <c r="D404" s="8" t="s">
        <v>16</v>
      </c>
      <c r="E404" s="11">
        <v>2338</v>
      </c>
      <c r="F404" s="13">
        <v>120</v>
      </c>
      <c r="G404" s="13">
        <v>7</v>
      </c>
      <c r="H404" s="13">
        <v>16366</v>
      </c>
      <c r="I404" s="13">
        <v>1309.28</v>
      </c>
      <c r="J404" s="13">
        <v>11690</v>
      </c>
      <c r="K404" s="5">
        <v>41791</v>
      </c>
    </row>
    <row r="405" spans="1:11" x14ac:dyDescent="0.3">
      <c r="A405" s="7" t="s">
        <v>15</v>
      </c>
      <c r="B405" s="8" t="s">
        <v>23</v>
      </c>
      <c r="C405" s="8" t="s">
        <v>20</v>
      </c>
      <c r="D405" s="8" t="s">
        <v>16</v>
      </c>
      <c r="E405" s="11">
        <v>2338</v>
      </c>
      <c r="F405" s="13">
        <v>250</v>
      </c>
      <c r="G405" s="13">
        <v>7</v>
      </c>
      <c r="H405" s="13">
        <v>16366</v>
      </c>
      <c r="I405" s="13">
        <v>1309.28</v>
      </c>
      <c r="J405" s="13">
        <v>11690</v>
      </c>
      <c r="K405" s="5">
        <v>41791</v>
      </c>
    </row>
    <row r="406" spans="1:11" x14ac:dyDescent="0.3">
      <c r="A406" s="7" t="s">
        <v>15</v>
      </c>
      <c r="B406" s="8" t="s">
        <v>23</v>
      </c>
      <c r="C406" s="8" t="s">
        <v>18</v>
      </c>
      <c r="D406" s="8" t="s">
        <v>16</v>
      </c>
      <c r="E406" s="11">
        <v>2409</v>
      </c>
      <c r="F406" s="13">
        <v>10</v>
      </c>
      <c r="G406" s="13">
        <v>7</v>
      </c>
      <c r="H406" s="13">
        <v>16863</v>
      </c>
      <c r="I406" s="13">
        <v>1349.04</v>
      </c>
      <c r="J406" s="13">
        <v>12045</v>
      </c>
      <c r="K406" s="5">
        <v>41518</v>
      </c>
    </row>
    <row r="407" spans="1:11" x14ac:dyDescent="0.3">
      <c r="A407" s="7" t="s">
        <v>15</v>
      </c>
      <c r="B407" s="8" t="s">
        <v>23</v>
      </c>
      <c r="C407" s="8" t="s">
        <v>17</v>
      </c>
      <c r="D407" s="8" t="s">
        <v>14</v>
      </c>
      <c r="E407" s="11">
        <v>2665</v>
      </c>
      <c r="F407" s="13">
        <v>120</v>
      </c>
      <c r="G407" s="13">
        <v>7</v>
      </c>
      <c r="H407" s="13">
        <v>18655</v>
      </c>
      <c r="I407" s="13">
        <v>1865.5</v>
      </c>
      <c r="J407" s="13">
        <v>13325</v>
      </c>
      <c r="K407" s="5">
        <v>41944</v>
      </c>
    </row>
    <row r="408" spans="1:11" x14ac:dyDescent="0.3">
      <c r="A408" s="7" t="s">
        <v>29</v>
      </c>
      <c r="B408" s="8" t="s">
        <v>23</v>
      </c>
      <c r="C408" s="8" t="s">
        <v>21</v>
      </c>
      <c r="D408" s="8" t="s">
        <v>16</v>
      </c>
      <c r="E408" s="11">
        <v>1580</v>
      </c>
      <c r="F408" s="13">
        <v>3</v>
      </c>
      <c r="G408" s="13">
        <v>12</v>
      </c>
      <c r="H408" s="13">
        <v>18960</v>
      </c>
      <c r="I408" s="13">
        <v>1706.4</v>
      </c>
      <c r="J408" s="13">
        <v>4740</v>
      </c>
      <c r="K408" s="5">
        <v>41883</v>
      </c>
    </row>
    <row r="409" spans="1:11" x14ac:dyDescent="0.3">
      <c r="A409" s="7" t="s">
        <v>29</v>
      </c>
      <c r="B409" s="8" t="s">
        <v>23</v>
      </c>
      <c r="C409" s="8" t="s">
        <v>13</v>
      </c>
      <c r="D409" s="8" t="s">
        <v>14</v>
      </c>
      <c r="E409" s="11">
        <v>1770</v>
      </c>
      <c r="F409" s="13">
        <v>260</v>
      </c>
      <c r="G409" s="13">
        <v>12</v>
      </c>
      <c r="H409" s="13">
        <v>21240</v>
      </c>
      <c r="I409" s="13">
        <v>2761.2</v>
      </c>
      <c r="J409" s="13">
        <v>5310</v>
      </c>
      <c r="K409" s="5">
        <v>41609</v>
      </c>
    </row>
    <row r="410" spans="1:11" x14ac:dyDescent="0.3">
      <c r="A410" s="7" t="s">
        <v>29</v>
      </c>
      <c r="B410" s="8" t="s">
        <v>23</v>
      </c>
      <c r="C410" s="8" t="s">
        <v>27</v>
      </c>
      <c r="D410" s="8" t="s">
        <v>22</v>
      </c>
      <c r="E410" s="11">
        <v>1545</v>
      </c>
      <c r="F410" s="13">
        <v>5</v>
      </c>
      <c r="G410" s="13">
        <v>12</v>
      </c>
      <c r="H410" s="13">
        <v>18540</v>
      </c>
      <c r="I410" s="13">
        <v>0</v>
      </c>
      <c r="J410" s="13">
        <v>4635</v>
      </c>
      <c r="K410" s="5">
        <v>41791</v>
      </c>
    </row>
    <row r="411" spans="1:11" x14ac:dyDescent="0.3">
      <c r="A411" s="7" t="s">
        <v>29</v>
      </c>
      <c r="B411" s="8" t="s">
        <v>23</v>
      </c>
      <c r="C411" s="8" t="s">
        <v>17</v>
      </c>
      <c r="D411" s="8" t="s">
        <v>22</v>
      </c>
      <c r="E411" s="11">
        <v>1545</v>
      </c>
      <c r="F411" s="13">
        <v>120</v>
      </c>
      <c r="G411" s="13">
        <v>12</v>
      </c>
      <c r="H411" s="13">
        <v>18540</v>
      </c>
      <c r="I411" s="13">
        <v>0</v>
      </c>
      <c r="J411" s="13">
        <v>4635</v>
      </c>
      <c r="K411" s="5">
        <v>41791</v>
      </c>
    </row>
    <row r="412" spans="1:11" x14ac:dyDescent="0.3">
      <c r="A412" s="7" t="s">
        <v>15</v>
      </c>
      <c r="B412" s="8" t="s">
        <v>23</v>
      </c>
      <c r="C412" s="8" t="s">
        <v>17</v>
      </c>
      <c r="D412" s="8" t="s">
        <v>16</v>
      </c>
      <c r="E412" s="11">
        <v>1001</v>
      </c>
      <c r="F412" s="13">
        <v>120</v>
      </c>
      <c r="G412" s="13">
        <v>20</v>
      </c>
      <c r="H412" s="13">
        <v>20020</v>
      </c>
      <c r="I412" s="13">
        <v>1201.2</v>
      </c>
      <c r="J412" s="13">
        <v>10010</v>
      </c>
      <c r="K412" s="5">
        <v>41852</v>
      </c>
    </row>
    <row r="413" spans="1:11" x14ac:dyDescent="0.3">
      <c r="A413" s="7" t="s">
        <v>29</v>
      </c>
      <c r="B413" s="8" t="s">
        <v>23</v>
      </c>
      <c r="C413" s="8" t="s">
        <v>18</v>
      </c>
      <c r="D413" s="8" t="s">
        <v>16</v>
      </c>
      <c r="E413" s="11">
        <v>1775</v>
      </c>
      <c r="F413" s="13">
        <v>10</v>
      </c>
      <c r="G413" s="13">
        <v>12</v>
      </c>
      <c r="H413" s="13">
        <v>21300</v>
      </c>
      <c r="I413" s="13">
        <v>1917</v>
      </c>
      <c r="J413" s="13">
        <v>5325</v>
      </c>
      <c r="K413" s="5">
        <v>41579</v>
      </c>
    </row>
    <row r="414" spans="1:11" x14ac:dyDescent="0.3">
      <c r="A414" s="7" t="s">
        <v>30</v>
      </c>
      <c r="B414" s="8" t="s">
        <v>23</v>
      </c>
      <c r="C414" s="8" t="s">
        <v>21</v>
      </c>
      <c r="D414" s="8" t="s">
        <v>14</v>
      </c>
      <c r="E414" s="11">
        <v>1513</v>
      </c>
      <c r="F414" s="13">
        <v>3</v>
      </c>
      <c r="G414" s="13">
        <v>15</v>
      </c>
      <c r="H414" s="13">
        <v>22695</v>
      </c>
      <c r="I414" s="13">
        <v>3177.3</v>
      </c>
      <c r="J414" s="13">
        <v>15130</v>
      </c>
      <c r="K414" s="5">
        <v>41944</v>
      </c>
    </row>
    <row r="415" spans="1:11" x14ac:dyDescent="0.3">
      <c r="A415" s="7" t="s">
        <v>15</v>
      </c>
      <c r="B415" s="8" t="s">
        <v>23</v>
      </c>
      <c r="C415" s="8" t="s">
        <v>18</v>
      </c>
      <c r="D415" s="8" t="s">
        <v>14</v>
      </c>
      <c r="E415" s="11">
        <v>1158</v>
      </c>
      <c r="F415" s="13">
        <v>10</v>
      </c>
      <c r="G415" s="13">
        <v>20</v>
      </c>
      <c r="H415" s="13">
        <v>23160</v>
      </c>
      <c r="I415" s="13">
        <v>3474</v>
      </c>
      <c r="J415" s="13">
        <v>11580</v>
      </c>
      <c r="K415" s="5">
        <v>41699</v>
      </c>
    </row>
    <row r="416" spans="1:11" x14ac:dyDescent="0.3">
      <c r="A416" s="7" t="s">
        <v>30</v>
      </c>
      <c r="B416" s="8" t="s">
        <v>23</v>
      </c>
      <c r="C416" s="8" t="s">
        <v>17</v>
      </c>
      <c r="D416" s="8" t="s">
        <v>16</v>
      </c>
      <c r="E416" s="11">
        <v>1530</v>
      </c>
      <c r="F416" s="13">
        <v>120</v>
      </c>
      <c r="G416" s="13">
        <v>15</v>
      </c>
      <c r="H416" s="13">
        <v>22950</v>
      </c>
      <c r="I416" s="13">
        <v>1377</v>
      </c>
      <c r="J416" s="13">
        <v>15300</v>
      </c>
      <c r="K416" s="5">
        <v>41760</v>
      </c>
    </row>
    <row r="417" spans="1:11" x14ac:dyDescent="0.3">
      <c r="A417" s="7" t="s">
        <v>30</v>
      </c>
      <c r="B417" s="8" t="s">
        <v>23</v>
      </c>
      <c r="C417" s="8" t="s">
        <v>18</v>
      </c>
      <c r="D417" s="8" t="s">
        <v>16</v>
      </c>
      <c r="E417" s="11">
        <v>1743</v>
      </c>
      <c r="F417" s="13">
        <v>10</v>
      </c>
      <c r="G417" s="13">
        <v>15</v>
      </c>
      <c r="H417" s="13">
        <v>26145</v>
      </c>
      <c r="I417" s="13">
        <v>1568.7</v>
      </c>
      <c r="J417" s="13">
        <v>17430</v>
      </c>
      <c r="K417" s="5">
        <v>41852</v>
      </c>
    </row>
    <row r="418" spans="1:11" x14ac:dyDescent="0.3">
      <c r="A418" s="7" t="s">
        <v>29</v>
      </c>
      <c r="B418" s="8" t="s">
        <v>23</v>
      </c>
      <c r="C418" s="8" t="s">
        <v>20</v>
      </c>
      <c r="D418" s="8" t="s">
        <v>16</v>
      </c>
      <c r="E418" s="11">
        <v>2215</v>
      </c>
      <c r="F418" s="13">
        <v>250</v>
      </c>
      <c r="G418" s="13">
        <v>12</v>
      </c>
      <c r="H418" s="13">
        <v>26580</v>
      </c>
      <c r="I418" s="13">
        <v>1860.6</v>
      </c>
      <c r="J418" s="13">
        <v>6645</v>
      </c>
      <c r="K418" s="5">
        <v>41518</v>
      </c>
    </row>
    <row r="419" spans="1:11" x14ac:dyDescent="0.3">
      <c r="A419" s="7" t="s">
        <v>15</v>
      </c>
      <c r="B419" s="8" t="s">
        <v>23</v>
      </c>
      <c r="C419" s="8" t="s">
        <v>13</v>
      </c>
      <c r="D419" s="8" t="s">
        <v>16</v>
      </c>
      <c r="E419" s="11">
        <v>1366</v>
      </c>
      <c r="F419" s="13">
        <v>260</v>
      </c>
      <c r="G419" s="13">
        <v>20</v>
      </c>
      <c r="H419" s="13">
        <v>27320</v>
      </c>
      <c r="I419" s="13">
        <v>2185.6</v>
      </c>
      <c r="J419" s="13">
        <v>13660</v>
      </c>
      <c r="K419" s="5">
        <v>41791</v>
      </c>
    </row>
    <row r="420" spans="1:11" x14ac:dyDescent="0.3">
      <c r="A420" s="7" t="s">
        <v>15</v>
      </c>
      <c r="B420" s="8" t="s">
        <v>23</v>
      </c>
      <c r="C420" s="8" t="s">
        <v>18</v>
      </c>
      <c r="D420" s="8" t="s">
        <v>16</v>
      </c>
      <c r="E420" s="11">
        <v>1366</v>
      </c>
      <c r="F420" s="13">
        <v>10</v>
      </c>
      <c r="G420" s="13">
        <v>20</v>
      </c>
      <c r="H420" s="13">
        <v>27320</v>
      </c>
      <c r="I420" s="13">
        <v>2185.6</v>
      </c>
      <c r="J420" s="13">
        <v>13660</v>
      </c>
      <c r="K420" s="5">
        <v>41791</v>
      </c>
    </row>
    <row r="421" spans="1:11" x14ac:dyDescent="0.3">
      <c r="A421" s="7" t="s">
        <v>29</v>
      </c>
      <c r="B421" s="8" t="s">
        <v>23</v>
      </c>
      <c r="C421" s="8" t="s">
        <v>17</v>
      </c>
      <c r="D421" s="8" t="s">
        <v>22</v>
      </c>
      <c r="E421" s="11">
        <v>2161</v>
      </c>
      <c r="F421" s="13">
        <v>120</v>
      </c>
      <c r="G421" s="13">
        <v>12</v>
      </c>
      <c r="H421" s="13">
        <v>25932</v>
      </c>
      <c r="I421" s="13">
        <v>0</v>
      </c>
      <c r="J421" s="13">
        <v>6483</v>
      </c>
      <c r="K421" s="5">
        <v>41699</v>
      </c>
    </row>
    <row r="422" spans="1:11" x14ac:dyDescent="0.3">
      <c r="A422" s="7" t="s">
        <v>15</v>
      </c>
      <c r="B422" s="8" t="s">
        <v>23</v>
      </c>
      <c r="C422" s="8" t="s">
        <v>21</v>
      </c>
      <c r="D422" s="8" t="s">
        <v>22</v>
      </c>
      <c r="E422" s="11">
        <v>1321</v>
      </c>
      <c r="F422" s="13">
        <v>3</v>
      </c>
      <c r="G422" s="13">
        <v>20</v>
      </c>
      <c r="H422" s="13">
        <v>26420</v>
      </c>
      <c r="I422" s="13">
        <v>0</v>
      </c>
      <c r="J422" s="13">
        <v>13210</v>
      </c>
      <c r="K422" s="5">
        <v>41640</v>
      </c>
    </row>
    <row r="423" spans="1:11" x14ac:dyDescent="0.3">
      <c r="A423" s="7" t="s">
        <v>29</v>
      </c>
      <c r="B423" s="8" t="s">
        <v>23</v>
      </c>
      <c r="C423" s="8" t="s">
        <v>27</v>
      </c>
      <c r="D423" s="8" t="s">
        <v>16</v>
      </c>
      <c r="E423" s="11">
        <v>2342</v>
      </c>
      <c r="F423" s="13">
        <v>5</v>
      </c>
      <c r="G423" s="13">
        <v>12</v>
      </c>
      <c r="H423" s="13">
        <v>28104</v>
      </c>
      <c r="I423" s="13">
        <v>1405.2</v>
      </c>
      <c r="J423" s="13">
        <v>7026</v>
      </c>
      <c r="K423" s="5">
        <v>41944</v>
      </c>
    </row>
    <row r="424" spans="1:11" x14ac:dyDescent="0.3">
      <c r="A424" s="7" t="s">
        <v>15</v>
      </c>
      <c r="B424" s="8" t="s">
        <v>23</v>
      </c>
      <c r="C424" s="8" t="s">
        <v>18</v>
      </c>
      <c r="D424" s="8" t="s">
        <v>14</v>
      </c>
      <c r="E424" s="11">
        <v>1531</v>
      </c>
      <c r="F424" s="13">
        <v>10</v>
      </c>
      <c r="G424" s="13">
        <v>20</v>
      </c>
      <c r="H424" s="13">
        <v>30620</v>
      </c>
      <c r="I424" s="13">
        <v>3674.4</v>
      </c>
      <c r="J424" s="13">
        <v>15310</v>
      </c>
      <c r="K424" s="5">
        <v>41974</v>
      </c>
    </row>
    <row r="425" spans="1:11" x14ac:dyDescent="0.3">
      <c r="A425" s="7" t="s">
        <v>15</v>
      </c>
      <c r="B425" s="8" t="s">
        <v>23</v>
      </c>
      <c r="C425" s="8" t="s">
        <v>20</v>
      </c>
      <c r="D425" s="8" t="s">
        <v>14</v>
      </c>
      <c r="E425" s="11">
        <v>1531</v>
      </c>
      <c r="F425" s="13">
        <v>250</v>
      </c>
      <c r="G425" s="13">
        <v>20</v>
      </c>
      <c r="H425" s="13">
        <v>30620</v>
      </c>
      <c r="I425" s="13">
        <v>3674.4</v>
      </c>
      <c r="J425" s="13">
        <v>15310</v>
      </c>
      <c r="K425" s="5">
        <v>41974</v>
      </c>
    </row>
    <row r="426" spans="1:11" x14ac:dyDescent="0.3">
      <c r="A426" s="7" t="s">
        <v>29</v>
      </c>
      <c r="B426" s="8" t="s">
        <v>23</v>
      </c>
      <c r="C426" s="8" t="s">
        <v>13</v>
      </c>
      <c r="D426" s="8" t="s">
        <v>14</v>
      </c>
      <c r="E426" s="11">
        <v>2574</v>
      </c>
      <c r="F426" s="13">
        <v>260</v>
      </c>
      <c r="G426" s="13">
        <v>12</v>
      </c>
      <c r="H426" s="13">
        <v>30888</v>
      </c>
      <c r="I426" s="13">
        <v>3088.8</v>
      </c>
      <c r="J426" s="13">
        <v>7722</v>
      </c>
      <c r="K426" s="5">
        <v>41852</v>
      </c>
    </row>
    <row r="427" spans="1:11" x14ac:dyDescent="0.3">
      <c r="A427" s="7" t="s">
        <v>15</v>
      </c>
      <c r="B427" s="8" t="s">
        <v>23</v>
      </c>
      <c r="C427" s="8" t="s">
        <v>13</v>
      </c>
      <c r="D427" s="8" t="s">
        <v>16</v>
      </c>
      <c r="E427" s="11">
        <v>1520</v>
      </c>
      <c r="F427" s="13">
        <v>260</v>
      </c>
      <c r="G427" s="13">
        <v>20</v>
      </c>
      <c r="H427" s="13">
        <v>30400</v>
      </c>
      <c r="I427" s="13">
        <v>2432</v>
      </c>
      <c r="J427" s="13">
        <v>15200</v>
      </c>
      <c r="K427" s="5">
        <v>41944</v>
      </c>
    </row>
    <row r="428" spans="1:11" x14ac:dyDescent="0.3">
      <c r="A428" s="7" t="s">
        <v>30</v>
      </c>
      <c r="B428" s="8" t="s">
        <v>23</v>
      </c>
      <c r="C428" s="8" t="s">
        <v>18</v>
      </c>
      <c r="D428" s="8" t="s">
        <v>19</v>
      </c>
      <c r="E428" s="11">
        <v>1945</v>
      </c>
      <c r="F428" s="13">
        <v>10</v>
      </c>
      <c r="G428" s="13">
        <v>15</v>
      </c>
      <c r="H428" s="13">
        <v>29175</v>
      </c>
      <c r="I428" s="13">
        <v>875.25</v>
      </c>
      <c r="J428" s="13">
        <v>19450</v>
      </c>
      <c r="K428" s="5">
        <v>41548</v>
      </c>
    </row>
    <row r="429" spans="1:11" x14ac:dyDescent="0.3">
      <c r="A429" s="7" t="s">
        <v>30</v>
      </c>
      <c r="B429" s="8" t="s">
        <v>23</v>
      </c>
      <c r="C429" s="8" t="s">
        <v>20</v>
      </c>
      <c r="D429" s="8" t="s">
        <v>19</v>
      </c>
      <c r="E429" s="11">
        <v>1945</v>
      </c>
      <c r="F429" s="13">
        <v>250</v>
      </c>
      <c r="G429" s="13">
        <v>15</v>
      </c>
      <c r="H429" s="13">
        <v>29175</v>
      </c>
      <c r="I429" s="13">
        <v>875.25</v>
      </c>
      <c r="J429" s="13">
        <v>19450</v>
      </c>
      <c r="K429" s="5">
        <v>41548</v>
      </c>
    </row>
    <row r="430" spans="1:11" x14ac:dyDescent="0.3">
      <c r="A430" s="7" t="s">
        <v>29</v>
      </c>
      <c r="B430" s="8" t="s">
        <v>23</v>
      </c>
      <c r="C430" s="8" t="s">
        <v>20</v>
      </c>
      <c r="D430" s="8" t="s">
        <v>19</v>
      </c>
      <c r="E430" s="11">
        <v>2479</v>
      </c>
      <c r="F430" s="13">
        <v>250</v>
      </c>
      <c r="G430" s="13">
        <v>12</v>
      </c>
      <c r="H430" s="13">
        <v>29748</v>
      </c>
      <c r="I430" s="13">
        <v>892.44</v>
      </c>
      <c r="J430" s="13">
        <v>7437</v>
      </c>
      <c r="K430" s="5">
        <v>41640</v>
      </c>
    </row>
    <row r="431" spans="1:11" x14ac:dyDescent="0.3">
      <c r="A431" s="7" t="s">
        <v>30</v>
      </c>
      <c r="B431" s="8" t="s">
        <v>23</v>
      </c>
      <c r="C431" s="8" t="s">
        <v>18</v>
      </c>
      <c r="D431" s="8" t="s">
        <v>16</v>
      </c>
      <c r="E431" s="11">
        <v>2116</v>
      </c>
      <c r="F431" s="13">
        <v>10</v>
      </c>
      <c r="G431" s="13">
        <v>15</v>
      </c>
      <c r="H431" s="13">
        <v>31740</v>
      </c>
      <c r="I431" s="13">
        <v>1587</v>
      </c>
      <c r="J431" s="13">
        <v>21160</v>
      </c>
      <c r="K431" s="5">
        <v>41609</v>
      </c>
    </row>
    <row r="432" spans="1:11" x14ac:dyDescent="0.3">
      <c r="A432" s="7" t="s">
        <v>29</v>
      </c>
      <c r="B432" s="8" t="s">
        <v>23</v>
      </c>
      <c r="C432" s="8" t="s">
        <v>20</v>
      </c>
      <c r="D432" s="8" t="s">
        <v>22</v>
      </c>
      <c r="E432" s="11">
        <v>2838</v>
      </c>
      <c r="F432" s="13">
        <v>250</v>
      </c>
      <c r="G432" s="13">
        <v>12</v>
      </c>
      <c r="H432" s="13">
        <v>34056</v>
      </c>
      <c r="I432" s="13">
        <v>0</v>
      </c>
      <c r="J432" s="13">
        <v>8514</v>
      </c>
      <c r="K432" s="5">
        <v>41730</v>
      </c>
    </row>
    <row r="433" spans="1:11" x14ac:dyDescent="0.3">
      <c r="A433" s="7" t="s">
        <v>15</v>
      </c>
      <c r="B433" s="8" t="s">
        <v>23</v>
      </c>
      <c r="C433" s="8" t="s">
        <v>18</v>
      </c>
      <c r="D433" s="8" t="s">
        <v>16</v>
      </c>
      <c r="E433" s="11">
        <v>1934</v>
      </c>
      <c r="F433" s="13">
        <v>10</v>
      </c>
      <c r="G433" s="13">
        <v>20</v>
      </c>
      <c r="H433" s="13">
        <v>38680</v>
      </c>
      <c r="I433" s="13">
        <v>3094.4</v>
      </c>
      <c r="J433" s="13">
        <v>19340</v>
      </c>
      <c r="K433" s="5">
        <v>41883</v>
      </c>
    </row>
    <row r="434" spans="1:11" x14ac:dyDescent="0.3">
      <c r="A434" s="7" t="s">
        <v>15</v>
      </c>
      <c r="B434" s="8" t="s">
        <v>23</v>
      </c>
      <c r="C434" s="8" t="s">
        <v>20</v>
      </c>
      <c r="D434" s="8" t="s">
        <v>16</v>
      </c>
      <c r="E434" s="11">
        <v>2297</v>
      </c>
      <c r="F434" s="13">
        <v>250</v>
      </c>
      <c r="G434" s="13">
        <v>20</v>
      </c>
      <c r="H434" s="13">
        <v>45940</v>
      </c>
      <c r="I434" s="13">
        <v>2297</v>
      </c>
      <c r="J434" s="13">
        <v>22970</v>
      </c>
      <c r="K434" s="5">
        <v>41579</v>
      </c>
    </row>
    <row r="435" spans="1:11" x14ac:dyDescent="0.3">
      <c r="A435" s="7" t="s">
        <v>15</v>
      </c>
      <c r="B435" s="8" t="s">
        <v>23</v>
      </c>
      <c r="C435" s="8" t="s">
        <v>18</v>
      </c>
      <c r="D435" s="8" t="s">
        <v>14</v>
      </c>
      <c r="E435" s="11">
        <v>2708</v>
      </c>
      <c r="F435" s="13">
        <v>10</v>
      </c>
      <c r="G435" s="13">
        <v>20</v>
      </c>
      <c r="H435" s="13">
        <v>54160</v>
      </c>
      <c r="I435" s="13">
        <v>7040.8</v>
      </c>
      <c r="J435" s="13">
        <v>27080</v>
      </c>
      <c r="K435" s="5">
        <v>41671</v>
      </c>
    </row>
    <row r="436" spans="1:11" x14ac:dyDescent="0.3">
      <c r="A436" s="7" t="s">
        <v>15</v>
      </c>
      <c r="B436" s="8" t="s">
        <v>23</v>
      </c>
      <c r="C436" s="8" t="s">
        <v>21</v>
      </c>
      <c r="D436" s="8" t="s">
        <v>19</v>
      </c>
      <c r="E436" s="11">
        <v>2580</v>
      </c>
      <c r="F436" s="13">
        <v>3</v>
      </c>
      <c r="G436" s="13">
        <v>20</v>
      </c>
      <c r="H436" s="13">
        <v>51600</v>
      </c>
      <c r="I436" s="13">
        <v>1548</v>
      </c>
      <c r="J436" s="13">
        <v>25800</v>
      </c>
      <c r="K436" s="5">
        <v>41730</v>
      </c>
    </row>
    <row r="437" spans="1:11" x14ac:dyDescent="0.3">
      <c r="A437" s="7" t="s">
        <v>15</v>
      </c>
      <c r="B437" s="8" t="s">
        <v>23</v>
      </c>
      <c r="C437" s="8" t="s">
        <v>27</v>
      </c>
      <c r="D437" s="8" t="s">
        <v>14</v>
      </c>
      <c r="E437" s="11">
        <v>2992</v>
      </c>
      <c r="F437" s="13">
        <v>5</v>
      </c>
      <c r="G437" s="13">
        <v>20</v>
      </c>
      <c r="H437" s="13">
        <v>59840</v>
      </c>
      <c r="I437" s="13">
        <v>6582.4</v>
      </c>
      <c r="J437" s="13">
        <v>29920</v>
      </c>
      <c r="K437" s="5">
        <v>41548</v>
      </c>
    </row>
    <row r="438" spans="1:11" x14ac:dyDescent="0.3">
      <c r="A438" s="7" t="s">
        <v>15</v>
      </c>
      <c r="B438" s="8" t="s">
        <v>23</v>
      </c>
      <c r="C438" s="8" t="s">
        <v>18</v>
      </c>
      <c r="D438" s="8" t="s">
        <v>14</v>
      </c>
      <c r="E438" s="11">
        <v>2992</v>
      </c>
      <c r="F438" s="13">
        <v>10</v>
      </c>
      <c r="G438" s="13">
        <v>20</v>
      </c>
      <c r="H438" s="13">
        <v>59840</v>
      </c>
      <c r="I438" s="13">
        <v>6582.4</v>
      </c>
      <c r="J438" s="13">
        <v>29920</v>
      </c>
      <c r="K438" s="5">
        <v>41548</v>
      </c>
    </row>
    <row r="439" spans="1:11" x14ac:dyDescent="0.3">
      <c r="A439" s="7" t="s">
        <v>28</v>
      </c>
      <c r="B439" s="8" t="s">
        <v>23</v>
      </c>
      <c r="C439" s="8" t="s">
        <v>20</v>
      </c>
      <c r="D439" s="8" t="s">
        <v>14</v>
      </c>
      <c r="E439" s="11">
        <v>552</v>
      </c>
      <c r="F439" s="13">
        <v>250</v>
      </c>
      <c r="G439" s="13">
        <v>125</v>
      </c>
      <c r="H439" s="13">
        <v>69000</v>
      </c>
      <c r="I439" s="13">
        <v>10350</v>
      </c>
      <c r="J439" s="13">
        <v>66240</v>
      </c>
      <c r="K439" s="5">
        <v>41944</v>
      </c>
    </row>
    <row r="440" spans="1:11" x14ac:dyDescent="0.3">
      <c r="A440" s="7" t="s">
        <v>11</v>
      </c>
      <c r="B440" s="8" t="s">
        <v>23</v>
      </c>
      <c r="C440" s="8" t="s">
        <v>21</v>
      </c>
      <c r="D440" s="8" t="s">
        <v>19</v>
      </c>
      <c r="E440" s="11">
        <v>214</v>
      </c>
      <c r="F440" s="13">
        <v>3</v>
      </c>
      <c r="G440" s="13">
        <v>300</v>
      </c>
      <c r="H440" s="13">
        <v>64200</v>
      </c>
      <c r="I440" s="13">
        <v>1284</v>
      </c>
      <c r="J440" s="13">
        <v>53500</v>
      </c>
      <c r="K440" s="5">
        <v>41548</v>
      </c>
    </row>
    <row r="441" spans="1:11" x14ac:dyDescent="0.3">
      <c r="A441" s="7" t="s">
        <v>11</v>
      </c>
      <c r="B441" s="8" t="s">
        <v>23</v>
      </c>
      <c r="C441" s="8" t="s">
        <v>20</v>
      </c>
      <c r="D441" s="8" t="s">
        <v>19</v>
      </c>
      <c r="E441" s="11">
        <v>214</v>
      </c>
      <c r="F441" s="13">
        <v>250</v>
      </c>
      <c r="G441" s="13">
        <v>300</v>
      </c>
      <c r="H441" s="13">
        <v>64200</v>
      </c>
      <c r="I441" s="13">
        <v>1284</v>
      </c>
      <c r="J441" s="13">
        <v>53500</v>
      </c>
      <c r="K441" s="5">
        <v>41548</v>
      </c>
    </row>
    <row r="442" spans="1:11" x14ac:dyDescent="0.3">
      <c r="A442" s="7" t="s">
        <v>11</v>
      </c>
      <c r="B442" s="8" t="s">
        <v>23</v>
      </c>
      <c r="C442" s="8" t="s">
        <v>13</v>
      </c>
      <c r="D442" s="8" t="s">
        <v>19</v>
      </c>
      <c r="E442" s="11">
        <v>259</v>
      </c>
      <c r="F442" s="13">
        <v>260</v>
      </c>
      <c r="G442" s="13">
        <v>300</v>
      </c>
      <c r="H442" s="13">
        <v>77700</v>
      </c>
      <c r="I442" s="13">
        <v>1554</v>
      </c>
      <c r="J442" s="13">
        <v>64750</v>
      </c>
      <c r="K442" s="5">
        <v>41699</v>
      </c>
    </row>
    <row r="443" spans="1:11" x14ac:dyDescent="0.3">
      <c r="A443" s="7" t="s">
        <v>11</v>
      </c>
      <c r="B443" s="8" t="s">
        <v>23</v>
      </c>
      <c r="C443" s="8" t="s">
        <v>27</v>
      </c>
      <c r="D443" s="8" t="s">
        <v>16</v>
      </c>
      <c r="E443" s="11">
        <v>334</v>
      </c>
      <c r="F443" s="13">
        <v>5</v>
      </c>
      <c r="G443" s="13">
        <v>300</v>
      </c>
      <c r="H443" s="13">
        <v>100200</v>
      </c>
      <c r="I443" s="13">
        <v>9018</v>
      </c>
      <c r="J443" s="13">
        <v>83500</v>
      </c>
      <c r="K443" s="5">
        <v>41609</v>
      </c>
    </row>
    <row r="444" spans="1:11" x14ac:dyDescent="0.3">
      <c r="A444" s="7" t="s">
        <v>28</v>
      </c>
      <c r="B444" s="8" t="s">
        <v>23</v>
      </c>
      <c r="C444" s="8" t="s">
        <v>18</v>
      </c>
      <c r="D444" s="8" t="s">
        <v>19</v>
      </c>
      <c r="E444" s="11">
        <v>795</v>
      </c>
      <c r="F444" s="13">
        <v>10</v>
      </c>
      <c r="G444" s="13">
        <v>125</v>
      </c>
      <c r="H444" s="13">
        <v>99375</v>
      </c>
      <c r="I444" s="13">
        <v>3975</v>
      </c>
      <c r="J444" s="13">
        <v>95400</v>
      </c>
      <c r="K444" s="5">
        <v>41699</v>
      </c>
    </row>
    <row r="445" spans="1:11" x14ac:dyDescent="0.3">
      <c r="A445" s="7" t="s">
        <v>28</v>
      </c>
      <c r="B445" s="8" t="s">
        <v>23</v>
      </c>
      <c r="C445" s="8" t="s">
        <v>17</v>
      </c>
      <c r="D445" s="8" t="s">
        <v>16</v>
      </c>
      <c r="E445" s="11">
        <v>807</v>
      </c>
      <c r="F445" s="13">
        <v>120</v>
      </c>
      <c r="G445" s="13">
        <v>125</v>
      </c>
      <c r="H445" s="13">
        <v>100875</v>
      </c>
      <c r="I445" s="13">
        <v>5043.75</v>
      </c>
      <c r="J445" s="13">
        <v>96840</v>
      </c>
      <c r="K445" s="5">
        <v>41671</v>
      </c>
    </row>
    <row r="446" spans="1:11" x14ac:dyDescent="0.3">
      <c r="A446" s="7" t="s">
        <v>28</v>
      </c>
      <c r="B446" s="8" t="s">
        <v>23</v>
      </c>
      <c r="C446" s="8" t="s">
        <v>18</v>
      </c>
      <c r="D446" s="8" t="s">
        <v>19</v>
      </c>
      <c r="E446" s="11">
        <v>809</v>
      </c>
      <c r="F446" s="13">
        <v>10</v>
      </c>
      <c r="G446" s="13">
        <v>125</v>
      </c>
      <c r="H446" s="13">
        <v>101125</v>
      </c>
      <c r="I446" s="13">
        <v>2022.5</v>
      </c>
      <c r="J446" s="13">
        <v>97080</v>
      </c>
      <c r="K446" s="5">
        <v>41548</v>
      </c>
    </row>
    <row r="447" spans="1:11" x14ac:dyDescent="0.3">
      <c r="A447" s="7" t="s">
        <v>28</v>
      </c>
      <c r="B447" s="8" t="s">
        <v>23</v>
      </c>
      <c r="C447" s="8" t="s">
        <v>17</v>
      </c>
      <c r="D447" s="8" t="s">
        <v>19</v>
      </c>
      <c r="E447" s="11">
        <v>809</v>
      </c>
      <c r="F447" s="13">
        <v>120</v>
      </c>
      <c r="G447" s="13">
        <v>125</v>
      </c>
      <c r="H447" s="13">
        <v>101125</v>
      </c>
      <c r="I447" s="13">
        <v>2022.5</v>
      </c>
      <c r="J447" s="13">
        <v>97080</v>
      </c>
      <c r="K447" s="5">
        <v>41548</v>
      </c>
    </row>
    <row r="448" spans="1:11" x14ac:dyDescent="0.3">
      <c r="A448" s="7" t="s">
        <v>28</v>
      </c>
      <c r="B448" s="8" t="s">
        <v>23</v>
      </c>
      <c r="C448" s="8" t="s">
        <v>21</v>
      </c>
      <c r="D448" s="8" t="s">
        <v>16</v>
      </c>
      <c r="E448" s="11">
        <v>887</v>
      </c>
      <c r="F448" s="13">
        <v>3</v>
      </c>
      <c r="G448" s="13">
        <v>125</v>
      </c>
      <c r="H448" s="13">
        <v>110875</v>
      </c>
      <c r="I448" s="13">
        <v>6652.5</v>
      </c>
      <c r="J448" s="13">
        <v>106440</v>
      </c>
      <c r="K448" s="5">
        <v>41609</v>
      </c>
    </row>
    <row r="449" spans="1:11" x14ac:dyDescent="0.3">
      <c r="A449" s="7" t="s">
        <v>15</v>
      </c>
      <c r="B449" s="8" t="s">
        <v>23</v>
      </c>
      <c r="C449" s="8" t="s">
        <v>18</v>
      </c>
      <c r="D449" s="8" t="s">
        <v>14</v>
      </c>
      <c r="E449" s="11">
        <v>357</v>
      </c>
      <c r="F449" s="13">
        <v>10</v>
      </c>
      <c r="G449" s="13">
        <v>350</v>
      </c>
      <c r="H449" s="13">
        <v>124950</v>
      </c>
      <c r="I449" s="13">
        <v>16243.5</v>
      </c>
      <c r="J449" s="13">
        <v>92820</v>
      </c>
      <c r="K449" s="5">
        <v>41944</v>
      </c>
    </row>
    <row r="450" spans="1:11" x14ac:dyDescent="0.3">
      <c r="A450" s="7" t="s">
        <v>28</v>
      </c>
      <c r="B450" s="8" t="s">
        <v>23</v>
      </c>
      <c r="C450" s="8" t="s">
        <v>21</v>
      </c>
      <c r="D450" s="8" t="s">
        <v>14</v>
      </c>
      <c r="E450" s="11">
        <v>1085</v>
      </c>
      <c r="F450" s="13">
        <v>3</v>
      </c>
      <c r="G450" s="13">
        <v>125</v>
      </c>
      <c r="H450" s="13">
        <v>135625</v>
      </c>
      <c r="I450" s="13">
        <v>20343.75</v>
      </c>
      <c r="J450" s="13">
        <v>130200</v>
      </c>
      <c r="K450" s="5">
        <v>41913</v>
      </c>
    </row>
    <row r="451" spans="1:11" x14ac:dyDescent="0.3">
      <c r="A451" s="7" t="s">
        <v>28</v>
      </c>
      <c r="B451" s="8" t="s">
        <v>23</v>
      </c>
      <c r="C451" s="8" t="s">
        <v>18</v>
      </c>
      <c r="D451" s="8" t="s">
        <v>14</v>
      </c>
      <c r="E451" s="11">
        <v>1085</v>
      </c>
      <c r="F451" s="13">
        <v>10</v>
      </c>
      <c r="G451" s="13">
        <v>125</v>
      </c>
      <c r="H451" s="13">
        <v>135625</v>
      </c>
      <c r="I451" s="13">
        <v>20343.75</v>
      </c>
      <c r="J451" s="13">
        <v>130200</v>
      </c>
      <c r="K451" s="5">
        <v>41913</v>
      </c>
    </row>
    <row r="452" spans="1:11" x14ac:dyDescent="0.3">
      <c r="A452" s="7" t="s">
        <v>28</v>
      </c>
      <c r="B452" s="8" t="s">
        <v>23</v>
      </c>
      <c r="C452" s="8" t="s">
        <v>13</v>
      </c>
      <c r="D452" s="8" t="s">
        <v>16</v>
      </c>
      <c r="E452" s="11">
        <v>994</v>
      </c>
      <c r="F452" s="13">
        <v>260</v>
      </c>
      <c r="G452" s="13">
        <v>125</v>
      </c>
      <c r="H452" s="13">
        <v>124250</v>
      </c>
      <c r="I452" s="13">
        <v>8697.5</v>
      </c>
      <c r="J452" s="13">
        <v>119280</v>
      </c>
      <c r="K452" s="5">
        <v>41518</v>
      </c>
    </row>
    <row r="453" spans="1:11" x14ac:dyDescent="0.3">
      <c r="A453" s="7" t="s">
        <v>15</v>
      </c>
      <c r="B453" s="8" t="s">
        <v>23</v>
      </c>
      <c r="C453" s="8" t="s">
        <v>20</v>
      </c>
      <c r="D453" s="8" t="s">
        <v>16</v>
      </c>
      <c r="E453" s="11">
        <v>422</v>
      </c>
      <c r="F453" s="13">
        <v>250</v>
      </c>
      <c r="G453" s="13">
        <v>350</v>
      </c>
      <c r="H453" s="13">
        <v>147700</v>
      </c>
      <c r="I453" s="13">
        <v>11816</v>
      </c>
      <c r="J453" s="13">
        <v>109720</v>
      </c>
      <c r="K453" s="5">
        <v>41852</v>
      </c>
    </row>
    <row r="454" spans="1:11" x14ac:dyDescent="0.3">
      <c r="A454" s="7" t="s">
        <v>29</v>
      </c>
      <c r="B454" s="8" t="s">
        <v>25</v>
      </c>
      <c r="C454" s="8" t="s">
        <v>27</v>
      </c>
      <c r="D454" s="8" t="s">
        <v>14</v>
      </c>
      <c r="E454" s="11">
        <v>604</v>
      </c>
      <c r="F454" s="13">
        <v>5</v>
      </c>
      <c r="G454" s="13">
        <v>12</v>
      </c>
      <c r="H454" s="13">
        <v>7248</v>
      </c>
      <c r="I454" s="13">
        <v>942.24</v>
      </c>
      <c r="J454" s="13">
        <v>1812</v>
      </c>
      <c r="K454" s="5">
        <v>41791</v>
      </c>
    </row>
    <row r="455" spans="1:11" x14ac:dyDescent="0.3">
      <c r="A455" s="7" t="s">
        <v>29</v>
      </c>
      <c r="B455" s="8" t="s">
        <v>25</v>
      </c>
      <c r="C455" s="8" t="s">
        <v>17</v>
      </c>
      <c r="D455" s="8" t="s">
        <v>14</v>
      </c>
      <c r="E455" s="11">
        <v>604</v>
      </c>
      <c r="F455" s="13">
        <v>120</v>
      </c>
      <c r="G455" s="13">
        <v>12</v>
      </c>
      <c r="H455" s="13">
        <v>7248</v>
      </c>
      <c r="I455" s="13">
        <v>942.24</v>
      </c>
      <c r="J455" s="13">
        <v>1812</v>
      </c>
      <c r="K455" s="5">
        <v>41791</v>
      </c>
    </row>
    <row r="456" spans="1:11" x14ac:dyDescent="0.3">
      <c r="A456" s="7" t="s">
        <v>29</v>
      </c>
      <c r="B456" s="8" t="s">
        <v>26</v>
      </c>
      <c r="C456" s="8" t="s">
        <v>17</v>
      </c>
      <c r="D456" s="8" t="s">
        <v>16</v>
      </c>
      <c r="E456" s="11">
        <v>598</v>
      </c>
      <c r="F456" s="13">
        <v>120</v>
      </c>
      <c r="G456" s="13">
        <v>12</v>
      </c>
      <c r="H456" s="13">
        <v>7176</v>
      </c>
      <c r="I456" s="13">
        <v>574.08000000000004</v>
      </c>
      <c r="J456" s="13">
        <v>1794</v>
      </c>
      <c r="K456" s="5">
        <v>41699</v>
      </c>
    </row>
    <row r="457" spans="1:11" x14ac:dyDescent="0.3">
      <c r="A457" s="7" t="s">
        <v>15</v>
      </c>
      <c r="B457" s="8" t="s">
        <v>26</v>
      </c>
      <c r="C457" s="8" t="s">
        <v>13</v>
      </c>
      <c r="D457" s="8" t="s">
        <v>16</v>
      </c>
      <c r="E457" s="11">
        <v>1135</v>
      </c>
      <c r="F457" s="13">
        <v>260</v>
      </c>
      <c r="G457" s="13">
        <v>7</v>
      </c>
      <c r="H457" s="13">
        <v>7945</v>
      </c>
      <c r="I457" s="13">
        <v>556.15</v>
      </c>
      <c r="J457" s="13">
        <v>5675</v>
      </c>
      <c r="K457" s="5">
        <v>41791</v>
      </c>
    </row>
    <row r="458" spans="1:11" x14ac:dyDescent="0.3">
      <c r="A458" s="7" t="s">
        <v>15</v>
      </c>
      <c r="B458" s="8" t="s">
        <v>26</v>
      </c>
      <c r="C458" s="8" t="s">
        <v>17</v>
      </c>
      <c r="D458" s="8" t="s">
        <v>16</v>
      </c>
      <c r="E458" s="11">
        <v>1135</v>
      </c>
      <c r="F458" s="13">
        <v>120</v>
      </c>
      <c r="G458" s="13">
        <v>7</v>
      </c>
      <c r="H458" s="13">
        <v>7945</v>
      </c>
      <c r="I458" s="13">
        <v>556.15</v>
      </c>
      <c r="J458" s="13">
        <v>5675</v>
      </c>
      <c r="K458" s="5">
        <v>41791</v>
      </c>
    </row>
    <row r="459" spans="1:11" x14ac:dyDescent="0.3">
      <c r="A459" s="7" t="s">
        <v>15</v>
      </c>
      <c r="B459" s="8" t="s">
        <v>24</v>
      </c>
      <c r="C459" s="8" t="s">
        <v>27</v>
      </c>
      <c r="D459" s="8" t="s">
        <v>14</v>
      </c>
      <c r="E459" s="11">
        <v>1298</v>
      </c>
      <c r="F459" s="13">
        <v>5</v>
      </c>
      <c r="G459" s="13">
        <v>7</v>
      </c>
      <c r="H459" s="13">
        <v>9086</v>
      </c>
      <c r="I459" s="13">
        <v>1181.18</v>
      </c>
      <c r="J459" s="13">
        <v>6490</v>
      </c>
      <c r="K459" s="5">
        <v>41671</v>
      </c>
    </row>
    <row r="460" spans="1:11" x14ac:dyDescent="0.3">
      <c r="A460" s="7" t="s">
        <v>30</v>
      </c>
      <c r="B460" s="8" t="s">
        <v>24</v>
      </c>
      <c r="C460" s="8" t="s">
        <v>17</v>
      </c>
      <c r="D460" s="8" t="s">
        <v>16</v>
      </c>
      <c r="E460" s="11">
        <v>555</v>
      </c>
      <c r="F460" s="13">
        <v>120</v>
      </c>
      <c r="G460" s="13">
        <v>15</v>
      </c>
      <c r="H460" s="13">
        <v>8325</v>
      </c>
      <c r="I460" s="13">
        <v>416.25</v>
      </c>
      <c r="J460" s="13">
        <v>5550</v>
      </c>
      <c r="K460" s="5">
        <v>41640</v>
      </c>
    </row>
    <row r="461" spans="1:11" x14ac:dyDescent="0.3">
      <c r="A461" s="7" t="s">
        <v>15</v>
      </c>
      <c r="B461" s="8" t="s">
        <v>24</v>
      </c>
      <c r="C461" s="8" t="s">
        <v>13</v>
      </c>
      <c r="D461" s="8" t="s">
        <v>22</v>
      </c>
      <c r="E461" s="11">
        <v>1143</v>
      </c>
      <c r="F461" s="13">
        <v>260</v>
      </c>
      <c r="G461" s="13">
        <v>7</v>
      </c>
      <c r="H461" s="13">
        <v>8001</v>
      </c>
      <c r="I461" s="13">
        <v>0</v>
      </c>
      <c r="J461" s="13">
        <v>5715</v>
      </c>
      <c r="K461" s="5">
        <v>41913</v>
      </c>
    </row>
    <row r="462" spans="1:11" x14ac:dyDescent="0.3">
      <c r="A462" s="7" t="s">
        <v>15</v>
      </c>
      <c r="B462" s="8" t="s">
        <v>24</v>
      </c>
      <c r="C462" s="8" t="s">
        <v>18</v>
      </c>
      <c r="D462" s="8" t="s">
        <v>22</v>
      </c>
      <c r="E462" s="11">
        <v>1143</v>
      </c>
      <c r="F462" s="13">
        <v>10</v>
      </c>
      <c r="G462" s="13">
        <v>7</v>
      </c>
      <c r="H462" s="13">
        <v>8001</v>
      </c>
      <c r="I462" s="13">
        <v>0</v>
      </c>
      <c r="J462" s="13">
        <v>5715</v>
      </c>
      <c r="K462" s="5">
        <v>41913</v>
      </c>
    </row>
    <row r="463" spans="1:11" x14ac:dyDescent="0.3">
      <c r="A463" s="7" t="s">
        <v>15</v>
      </c>
      <c r="B463" s="8" t="s">
        <v>24</v>
      </c>
      <c r="C463" s="8" t="s">
        <v>20</v>
      </c>
      <c r="D463" s="8" t="s">
        <v>16</v>
      </c>
      <c r="E463" s="11">
        <v>436.5</v>
      </c>
      <c r="F463" s="13">
        <v>250</v>
      </c>
      <c r="G463" s="13">
        <v>20</v>
      </c>
      <c r="H463" s="13">
        <v>8730</v>
      </c>
      <c r="I463" s="13">
        <v>698.40000000000009</v>
      </c>
      <c r="J463" s="13">
        <v>4365</v>
      </c>
      <c r="K463" s="5">
        <v>41821</v>
      </c>
    </row>
    <row r="464" spans="1:11" x14ac:dyDescent="0.3">
      <c r="A464" s="7" t="s">
        <v>29</v>
      </c>
      <c r="B464" s="8" t="s">
        <v>25</v>
      </c>
      <c r="C464" s="8" t="s">
        <v>21</v>
      </c>
      <c r="D464" s="8" t="s">
        <v>16</v>
      </c>
      <c r="E464" s="11">
        <v>727</v>
      </c>
      <c r="F464" s="13">
        <v>3</v>
      </c>
      <c r="G464" s="13">
        <v>12</v>
      </c>
      <c r="H464" s="13">
        <v>8724</v>
      </c>
      <c r="I464" s="13">
        <v>610.67999999999995</v>
      </c>
      <c r="J464" s="13">
        <v>2181</v>
      </c>
      <c r="K464" s="5">
        <v>41671</v>
      </c>
    </row>
    <row r="465" spans="1:11" x14ac:dyDescent="0.3">
      <c r="A465" s="7" t="s">
        <v>29</v>
      </c>
      <c r="B465" s="8" t="s">
        <v>25</v>
      </c>
      <c r="C465" s="8" t="s">
        <v>27</v>
      </c>
      <c r="D465" s="8" t="s">
        <v>19</v>
      </c>
      <c r="E465" s="11">
        <v>690</v>
      </c>
      <c r="F465" s="13">
        <v>5</v>
      </c>
      <c r="G465" s="13">
        <v>12</v>
      </c>
      <c r="H465" s="13">
        <v>8280</v>
      </c>
      <c r="I465" s="13">
        <v>165.6</v>
      </c>
      <c r="J465" s="13">
        <v>2070</v>
      </c>
      <c r="K465" s="5">
        <v>41944</v>
      </c>
    </row>
    <row r="466" spans="1:11" x14ac:dyDescent="0.3">
      <c r="A466" s="7" t="s">
        <v>15</v>
      </c>
      <c r="B466" s="8" t="s">
        <v>25</v>
      </c>
      <c r="C466" s="8" t="s">
        <v>27</v>
      </c>
      <c r="D466" s="8" t="s">
        <v>14</v>
      </c>
      <c r="E466" s="11">
        <v>1368</v>
      </c>
      <c r="F466" s="13">
        <v>5</v>
      </c>
      <c r="G466" s="13">
        <v>7</v>
      </c>
      <c r="H466" s="13">
        <v>9576</v>
      </c>
      <c r="I466" s="13">
        <v>1436.4</v>
      </c>
      <c r="J466" s="13">
        <v>6840</v>
      </c>
      <c r="K466" s="5">
        <v>41671</v>
      </c>
    </row>
    <row r="467" spans="1:11" x14ac:dyDescent="0.3">
      <c r="A467" s="7" t="s">
        <v>30</v>
      </c>
      <c r="B467" s="8" t="s">
        <v>25</v>
      </c>
      <c r="C467" s="8" t="s">
        <v>20</v>
      </c>
      <c r="D467" s="8" t="s">
        <v>14</v>
      </c>
      <c r="E467" s="11">
        <v>641</v>
      </c>
      <c r="F467" s="13">
        <v>250</v>
      </c>
      <c r="G467" s="13">
        <v>15</v>
      </c>
      <c r="H467" s="13">
        <v>9615</v>
      </c>
      <c r="I467" s="13">
        <v>961.5</v>
      </c>
      <c r="J467" s="13">
        <v>6410</v>
      </c>
      <c r="K467" s="5">
        <v>41821</v>
      </c>
    </row>
    <row r="468" spans="1:11" x14ac:dyDescent="0.3">
      <c r="A468" s="7" t="s">
        <v>30</v>
      </c>
      <c r="B468" s="8" t="s">
        <v>25</v>
      </c>
      <c r="C468" s="8" t="s">
        <v>17</v>
      </c>
      <c r="D468" s="8" t="s">
        <v>14</v>
      </c>
      <c r="E468" s="11">
        <v>655</v>
      </c>
      <c r="F468" s="13">
        <v>120</v>
      </c>
      <c r="G468" s="13">
        <v>15</v>
      </c>
      <c r="H468" s="13">
        <v>9825</v>
      </c>
      <c r="I468" s="13">
        <v>1080.75</v>
      </c>
      <c r="J468" s="13">
        <v>6550</v>
      </c>
      <c r="K468" s="5">
        <v>41518</v>
      </c>
    </row>
    <row r="469" spans="1:11" x14ac:dyDescent="0.3">
      <c r="A469" s="7" t="s">
        <v>15</v>
      </c>
      <c r="B469" s="8" t="s">
        <v>24</v>
      </c>
      <c r="C469" s="8" t="s">
        <v>18</v>
      </c>
      <c r="D469" s="8" t="s">
        <v>14</v>
      </c>
      <c r="E469" s="11">
        <v>1438.5</v>
      </c>
      <c r="F469" s="13">
        <v>10</v>
      </c>
      <c r="G469" s="13">
        <v>7</v>
      </c>
      <c r="H469" s="13">
        <v>10069.5</v>
      </c>
      <c r="I469" s="13">
        <v>1309.0350000000001</v>
      </c>
      <c r="J469" s="13">
        <v>7192.5</v>
      </c>
      <c r="K469" s="5">
        <v>41640</v>
      </c>
    </row>
    <row r="470" spans="1:11" x14ac:dyDescent="0.3">
      <c r="A470" s="7" t="s">
        <v>15</v>
      </c>
      <c r="B470" s="8" t="s">
        <v>25</v>
      </c>
      <c r="C470" s="8" t="s">
        <v>17</v>
      </c>
      <c r="D470" s="8" t="s">
        <v>16</v>
      </c>
      <c r="E470" s="11">
        <v>1333</v>
      </c>
      <c r="F470" s="13">
        <v>120</v>
      </c>
      <c r="G470" s="13">
        <v>7</v>
      </c>
      <c r="H470" s="13">
        <v>9331</v>
      </c>
      <c r="I470" s="13">
        <v>559.86</v>
      </c>
      <c r="J470" s="13">
        <v>6665</v>
      </c>
      <c r="K470" s="5">
        <v>41944</v>
      </c>
    </row>
    <row r="471" spans="1:11" x14ac:dyDescent="0.3">
      <c r="A471" s="7" t="s">
        <v>30</v>
      </c>
      <c r="B471" s="8" t="s">
        <v>24</v>
      </c>
      <c r="C471" s="8" t="s">
        <v>27</v>
      </c>
      <c r="D471" s="8" t="s">
        <v>14</v>
      </c>
      <c r="E471" s="11">
        <v>677</v>
      </c>
      <c r="F471" s="13">
        <v>5</v>
      </c>
      <c r="G471" s="13">
        <v>15</v>
      </c>
      <c r="H471" s="13">
        <v>10155</v>
      </c>
      <c r="I471" s="13">
        <v>1218.5999999999999</v>
      </c>
      <c r="J471" s="13">
        <v>6770</v>
      </c>
      <c r="K471" s="5">
        <v>41699</v>
      </c>
    </row>
    <row r="472" spans="1:11" x14ac:dyDescent="0.3">
      <c r="A472" s="7" t="s">
        <v>15</v>
      </c>
      <c r="B472" s="8" t="s">
        <v>26</v>
      </c>
      <c r="C472" s="8" t="s">
        <v>20</v>
      </c>
      <c r="D472" s="8" t="s">
        <v>19</v>
      </c>
      <c r="E472" s="11">
        <v>1326</v>
      </c>
      <c r="F472" s="13">
        <v>250</v>
      </c>
      <c r="G472" s="13">
        <v>7</v>
      </c>
      <c r="H472" s="13">
        <v>9282</v>
      </c>
      <c r="I472" s="13">
        <v>92.82</v>
      </c>
      <c r="J472" s="13">
        <v>6630</v>
      </c>
      <c r="K472" s="5">
        <v>41699</v>
      </c>
    </row>
    <row r="473" spans="1:11" x14ac:dyDescent="0.3">
      <c r="A473" s="7" t="s">
        <v>30</v>
      </c>
      <c r="B473" s="8" t="s">
        <v>24</v>
      </c>
      <c r="C473" s="8" t="s">
        <v>13</v>
      </c>
      <c r="D473" s="8" t="s">
        <v>22</v>
      </c>
      <c r="E473" s="11">
        <v>615</v>
      </c>
      <c r="F473" s="13">
        <v>260</v>
      </c>
      <c r="G473" s="13">
        <v>15</v>
      </c>
      <c r="H473" s="13">
        <v>9225</v>
      </c>
      <c r="I473" s="13">
        <v>0</v>
      </c>
      <c r="J473" s="13">
        <v>6150</v>
      </c>
      <c r="K473" s="5">
        <v>41974</v>
      </c>
    </row>
    <row r="474" spans="1:11" x14ac:dyDescent="0.3">
      <c r="A474" s="7" t="s">
        <v>30</v>
      </c>
      <c r="B474" s="8" t="s">
        <v>24</v>
      </c>
      <c r="C474" s="8" t="s">
        <v>27</v>
      </c>
      <c r="D474" s="8" t="s">
        <v>22</v>
      </c>
      <c r="E474" s="11">
        <v>615</v>
      </c>
      <c r="F474" s="13">
        <v>5</v>
      </c>
      <c r="G474" s="13">
        <v>15</v>
      </c>
      <c r="H474" s="13">
        <v>9225</v>
      </c>
      <c r="I474" s="13">
        <v>0</v>
      </c>
      <c r="J474" s="13">
        <v>6150</v>
      </c>
      <c r="K474" s="5">
        <v>41974</v>
      </c>
    </row>
    <row r="475" spans="1:11" x14ac:dyDescent="0.3">
      <c r="A475" s="7" t="s">
        <v>29</v>
      </c>
      <c r="B475" s="8" t="s">
        <v>24</v>
      </c>
      <c r="C475" s="8" t="s">
        <v>18</v>
      </c>
      <c r="D475" s="8" t="s">
        <v>14</v>
      </c>
      <c r="E475" s="11">
        <v>914</v>
      </c>
      <c r="F475" s="13">
        <v>10</v>
      </c>
      <c r="G475" s="13">
        <v>12</v>
      </c>
      <c r="H475" s="13">
        <v>10968</v>
      </c>
      <c r="I475" s="13">
        <v>1645.2</v>
      </c>
      <c r="J475" s="13">
        <v>2742</v>
      </c>
      <c r="K475" s="5">
        <v>41974</v>
      </c>
    </row>
    <row r="476" spans="1:11" x14ac:dyDescent="0.3">
      <c r="A476" s="7" t="s">
        <v>29</v>
      </c>
      <c r="B476" s="8" t="s">
        <v>24</v>
      </c>
      <c r="C476" s="8" t="s">
        <v>17</v>
      </c>
      <c r="D476" s="8" t="s">
        <v>14</v>
      </c>
      <c r="E476" s="11">
        <v>914</v>
      </c>
      <c r="F476" s="13">
        <v>120</v>
      </c>
      <c r="G476" s="13">
        <v>12</v>
      </c>
      <c r="H476" s="13">
        <v>10968</v>
      </c>
      <c r="I476" s="13">
        <v>1645.2</v>
      </c>
      <c r="J476" s="13">
        <v>2742</v>
      </c>
      <c r="K476" s="5">
        <v>41974</v>
      </c>
    </row>
    <row r="477" spans="1:11" x14ac:dyDescent="0.3">
      <c r="A477" s="7" t="s">
        <v>30</v>
      </c>
      <c r="B477" s="8" t="s">
        <v>24</v>
      </c>
      <c r="C477" s="8" t="s">
        <v>13</v>
      </c>
      <c r="D477" s="8" t="s">
        <v>19</v>
      </c>
      <c r="E477" s="11">
        <v>671</v>
      </c>
      <c r="F477" s="13">
        <v>260</v>
      </c>
      <c r="G477" s="13">
        <v>15</v>
      </c>
      <c r="H477" s="13">
        <v>10065</v>
      </c>
      <c r="I477" s="13">
        <v>402.6</v>
      </c>
      <c r="J477" s="13">
        <v>6710</v>
      </c>
      <c r="K477" s="5">
        <v>41548</v>
      </c>
    </row>
    <row r="478" spans="1:11" x14ac:dyDescent="0.3">
      <c r="A478" s="7" t="s">
        <v>30</v>
      </c>
      <c r="B478" s="8" t="s">
        <v>24</v>
      </c>
      <c r="C478" s="8" t="s">
        <v>18</v>
      </c>
      <c r="D478" s="8" t="s">
        <v>19</v>
      </c>
      <c r="E478" s="11">
        <v>671</v>
      </c>
      <c r="F478" s="13">
        <v>10</v>
      </c>
      <c r="G478" s="13">
        <v>15</v>
      </c>
      <c r="H478" s="13">
        <v>10065</v>
      </c>
      <c r="I478" s="13">
        <v>402.6</v>
      </c>
      <c r="J478" s="13">
        <v>6710</v>
      </c>
      <c r="K478" s="5">
        <v>41548</v>
      </c>
    </row>
    <row r="479" spans="1:11" x14ac:dyDescent="0.3">
      <c r="A479" s="7" t="s">
        <v>15</v>
      </c>
      <c r="B479" s="8" t="s">
        <v>24</v>
      </c>
      <c r="C479" s="8" t="s">
        <v>20</v>
      </c>
      <c r="D479" s="8" t="s">
        <v>14</v>
      </c>
      <c r="E479" s="11">
        <v>1579</v>
      </c>
      <c r="F479" s="13">
        <v>250</v>
      </c>
      <c r="G479" s="13">
        <v>7</v>
      </c>
      <c r="H479" s="13">
        <v>11053</v>
      </c>
      <c r="I479" s="13">
        <v>1215.83</v>
      </c>
      <c r="J479" s="13">
        <v>7895</v>
      </c>
      <c r="K479" s="5">
        <v>41699</v>
      </c>
    </row>
    <row r="480" spans="1:11" x14ac:dyDescent="0.3">
      <c r="A480" s="7" t="s">
        <v>15</v>
      </c>
      <c r="B480" s="8" t="s">
        <v>25</v>
      </c>
      <c r="C480" s="8" t="s">
        <v>17</v>
      </c>
      <c r="D480" s="8" t="s">
        <v>16</v>
      </c>
      <c r="E480" s="11">
        <v>1498</v>
      </c>
      <c r="F480" s="13">
        <v>120</v>
      </c>
      <c r="G480" s="13">
        <v>7</v>
      </c>
      <c r="H480" s="13">
        <v>10486</v>
      </c>
      <c r="I480" s="13">
        <v>629.16</v>
      </c>
      <c r="J480" s="13">
        <v>7490</v>
      </c>
      <c r="K480" s="5">
        <v>41791</v>
      </c>
    </row>
    <row r="481" spans="1:11" x14ac:dyDescent="0.3">
      <c r="A481" s="7" t="s">
        <v>15</v>
      </c>
      <c r="B481" s="8" t="s">
        <v>25</v>
      </c>
      <c r="C481" s="8" t="s">
        <v>20</v>
      </c>
      <c r="D481" s="8" t="s">
        <v>16</v>
      </c>
      <c r="E481" s="11">
        <v>1498</v>
      </c>
      <c r="F481" s="13">
        <v>250</v>
      </c>
      <c r="G481" s="13">
        <v>7</v>
      </c>
      <c r="H481" s="13">
        <v>10486</v>
      </c>
      <c r="I481" s="13">
        <v>629.16</v>
      </c>
      <c r="J481" s="13">
        <v>7490</v>
      </c>
      <c r="K481" s="5">
        <v>41791</v>
      </c>
    </row>
    <row r="482" spans="1:11" x14ac:dyDescent="0.3">
      <c r="A482" s="7" t="s">
        <v>15</v>
      </c>
      <c r="B482" s="8" t="s">
        <v>26</v>
      </c>
      <c r="C482" s="8" t="s">
        <v>27</v>
      </c>
      <c r="D482" s="8" t="s">
        <v>16</v>
      </c>
      <c r="E482" s="11">
        <v>1611</v>
      </c>
      <c r="F482" s="13">
        <v>5</v>
      </c>
      <c r="G482" s="13">
        <v>7</v>
      </c>
      <c r="H482" s="13">
        <v>11277</v>
      </c>
      <c r="I482" s="13">
        <v>1014.93</v>
      </c>
      <c r="J482" s="13">
        <v>8055</v>
      </c>
      <c r="K482" s="5">
        <v>41609</v>
      </c>
    </row>
    <row r="483" spans="1:11" x14ac:dyDescent="0.3">
      <c r="A483" s="7" t="s">
        <v>15</v>
      </c>
      <c r="B483" s="8" t="s">
        <v>26</v>
      </c>
      <c r="C483" s="8" t="s">
        <v>17</v>
      </c>
      <c r="D483" s="8" t="s">
        <v>16</v>
      </c>
      <c r="E483" s="11">
        <v>1582</v>
      </c>
      <c r="F483" s="13">
        <v>120</v>
      </c>
      <c r="G483" s="13">
        <v>7</v>
      </c>
      <c r="H483" s="13">
        <v>11074</v>
      </c>
      <c r="I483" s="13">
        <v>775.18</v>
      </c>
      <c r="J483" s="13">
        <v>7910</v>
      </c>
      <c r="K483" s="5">
        <v>41974</v>
      </c>
    </row>
    <row r="484" spans="1:11" x14ac:dyDescent="0.3">
      <c r="A484" s="7" t="s">
        <v>15</v>
      </c>
      <c r="B484" s="8" t="s">
        <v>26</v>
      </c>
      <c r="C484" s="8" t="s">
        <v>20</v>
      </c>
      <c r="D484" s="8" t="s">
        <v>16</v>
      </c>
      <c r="E484" s="11">
        <v>1582</v>
      </c>
      <c r="F484" s="13">
        <v>250</v>
      </c>
      <c r="G484" s="13">
        <v>7</v>
      </c>
      <c r="H484" s="13">
        <v>11074</v>
      </c>
      <c r="I484" s="13">
        <v>775.18</v>
      </c>
      <c r="J484" s="13">
        <v>7910</v>
      </c>
      <c r="K484" s="5">
        <v>41974</v>
      </c>
    </row>
    <row r="485" spans="1:11" x14ac:dyDescent="0.3">
      <c r="A485" s="7" t="s">
        <v>15</v>
      </c>
      <c r="B485" s="8" t="s">
        <v>25</v>
      </c>
      <c r="C485" s="8" t="s">
        <v>13</v>
      </c>
      <c r="D485" s="8" t="s">
        <v>14</v>
      </c>
      <c r="E485" s="11">
        <v>1727</v>
      </c>
      <c r="F485" s="13">
        <v>260</v>
      </c>
      <c r="G485" s="13">
        <v>7</v>
      </c>
      <c r="H485" s="13">
        <v>12089</v>
      </c>
      <c r="I485" s="13">
        <v>1692.46</v>
      </c>
      <c r="J485" s="13">
        <v>8635</v>
      </c>
      <c r="K485" s="5">
        <v>41548</v>
      </c>
    </row>
    <row r="486" spans="1:11" x14ac:dyDescent="0.3">
      <c r="A486" s="7" t="s">
        <v>15</v>
      </c>
      <c r="B486" s="8" t="s">
        <v>25</v>
      </c>
      <c r="C486" s="8" t="s">
        <v>27</v>
      </c>
      <c r="D486" s="8" t="s">
        <v>14</v>
      </c>
      <c r="E486" s="11">
        <v>1727</v>
      </c>
      <c r="F486" s="13">
        <v>5</v>
      </c>
      <c r="G486" s="13">
        <v>7</v>
      </c>
      <c r="H486" s="13">
        <v>12089</v>
      </c>
      <c r="I486" s="13">
        <v>1692.46</v>
      </c>
      <c r="J486" s="13">
        <v>8635</v>
      </c>
      <c r="K486" s="5">
        <v>41548</v>
      </c>
    </row>
    <row r="487" spans="1:11" x14ac:dyDescent="0.3">
      <c r="A487" s="7" t="s">
        <v>15</v>
      </c>
      <c r="B487" s="8" t="s">
        <v>24</v>
      </c>
      <c r="C487" s="8" t="s">
        <v>17</v>
      </c>
      <c r="D487" s="8" t="s">
        <v>14</v>
      </c>
      <c r="E487" s="11">
        <v>606</v>
      </c>
      <c r="F487" s="13">
        <v>120</v>
      </c>
      <c r="G487" s="13">
        <v>20</v>
      </c>
      <c r="H487" s="13">
        <v>12120</v>
      </c>
      <c r="I487" s="13">
        <v>1696.8000000000002</v>
      </c>
      <c r="J487" s="13">
        <v>6060</v>
      </c>
      <c r="K487" s="5">
        <v>41730</v>
      </c>
    </row>
    <row r="488" spans="1:11" x14ac:dyDescent="0.3">
      <c r="A488" s="7" t="s">
        <v>15</v>
      </c>
      <c r="B488" s="8" t="s">
        <v>25</v>
      </c>
      <c r="C488" s="8" t="s">
        <v>17</v>
      </c>
      <c r="D488" s="8" t="s">
        <v>22</v>
      </c>
      <c r="E488" s="11">
        <v>1493</v>
      </c>
      <c r="F488" s="13">
        <v>120</v>
      </c>
      <c r="G488" s="13">
        <v>7</v>
      </c>
      <c r="H488" s="13">
        <v>10451</v>
      </c>
      <c r="I488" s="13">
        <v>0</v>
      </c>
      <c r="J488" s="13">
        <v>7465</v>
      </c>
      <c r="K488" s="5">
        <v>41640</v>
      </c>
    </row>
    <row r="489" spans="1:11" x14ac:dyDescent="0.3">
      <c r="A489" s="7" t="s">
        <v>29</v>
      </c>
      <c r="B489" s="8" t="s">
        <v>26</v>
      </c>
      <c r="C489" s="8" t="s">
        <v>21</v>
      </c>
      <c r="D489" s="8" t="s">
        <v>19</v>
      </c>
      <c r="E489" s="11">
        <v>908</v>
      </c>
      <c r="F489" s="13">
        <v>3</v>
      </c>
      <c r="G489" s="13">
        <v>12</v>
      </c>
      <c r="H489" s="13">
        <v>10896</v>
      </c>
      <c r="I489" s="13">
        <v>326.88</v>
      </c>
      <c r="J489" s="13">
        <v>2724</v>
      </c>
      <c r="K489" s="5">
        <v>41609</v>
      </c>
    </row>
    <row r="490" spans="1:11" x14ac:dyDescent="0.3">
      <c r="A490" s="7" t="s">
        <v>15</v>
      </c>
      <c r="B490" s="8" t="s">
        <v>25</v>
      </c>
      <c r="C490" s="8" t="s">
        <v>17</v>
      </c>
      <c r="D490" s="8" t="s">
        <v>19</v>
      </c>
      <c r="E490" s="11">
        <v>544</v>
      </c>
      <c r="F490" s="13">
        <v>120</v>
      </c>
      <c r="G490" s="13">
        <v>20</v>
      </c>
      <c r="H490" s="13">
        <v>10880</v>
      </c>
      <c r="I490" s="13">
        <v>217.6</v>
      </c>
      <c r="J490" s="13">
        <v>5440</v>
      </c>
      <c r="K490" s="5">
        <v>41609</v>
      </c>
    </row>
    <row r="491" spans="1:11" x14ac:dyDescent="0.3">
      <c r="A491" s="7" t="s">
        <v>30</v>
      </c>
      <c r="B491" s="8" t="s">
        <v>24</v>
      </c>
      <c r="C491" s="8" t="s">
        <v>17</v>
      </c>
      <c r="D491" s="8" t="s">
        <v>14</v>
      </c>
      <c r="E491" s="11">
        <v>790</v>
      </c>
      <c r="F491" s="13">
        <v>120</v>
      </c>
      <c r="G491" s="13">
        <v>15</v>
      </c>
      <c r="H491" s="13">
        <v>11850</v>
      </c>
      <c r="I491" s="13">
        <v>1185</v>
      </c>
      <c r="J491" s="13">
        <v>7900</v>
      </c>
      <c r="K491" s="5">
        <v>41760</v>
      </c>
    </row>
    <row r="492" spans="1:11" x14ac:dyDescent="0.3">
      <c r="A492" s="7" t="s">
        <v>29</v>
      </c>
      <c r="B492" s="8" t="s">
        <v>25</v>
      </c>
      <c r="C492" s="8" t="s">
        <v>20</v>
      </c>
      <c r="D492" s="8" t="s">
        <v>14</v>
      </c>
      <c r="E492" s="11">
        <v>1005</v>
      </c>
      <c r="F492" s="13">
        <v>250</v>
      </c>
      <c r="G492" s="13">
        <v>12</v>
      </c>
      <c r="H492" s="13">
        <v>12060</v>
      </c>
      <c r="I492" s="13">
        <v>1326.6</v>
      </c>
      <c r="J492" s="13">
        <v>3015</v>
      </c>
      <c r="K492" s="5">
        <v>41518</v>
      </c>
    </row>
    <row r="493" spans="1:11" x14ac:dyDescent="0.3">
      <c r="A493" s="7" t="s">
        <v>29</v>
      </c>
      <c r="B493" s="8" t="s">
        <v>24</v>
      </c>
      <c r="C493" s="8" t="s">
        <v>18</v>
      </c>
      <c r="D493" s="8" t="s">
        <v>22</v>
      </c>
      <c r="E493" s="11">
        <v>912</v>
      </c>
      <c r="F493" s="13">
        <v>10</v>
      </c>
      <c r="G493" s="13">
        <v>12</v>
      </c>
      <c r="H493" s="13">
        <v>10944</v>
      </c>
      <c r="I493" s="13">
        <v>0</v>
      </c>
      <c r="J493" s="13">
        <v>2736</v>
      </c>
      <c r="K493" s="5">
        <v>41579</v>
      </c>
    </row>
    <row r="494" spans="1:11" x14ac:dyDescent="0.3">
      <c r="A494" s="7" t="s">
        <v>15</v>
      </c>
      <c r="B494" s="8" t="s">
        <v>25</v>
      </c>
      <c r="C494" s="8" t="s">
        <v>13</v>
      </c>
      <c r="D494" s="8" t="s">
        <v>16</v>
      </c>
      <c r="E494" s="11">
        <v>1683</v>
      </c>
      <c r="F494" s="13">
        <v>260</v>
      </c>
      <c r="G494" s="13">
        <v>7</v>
      </c>
      <c r="H494" s="13">
        <v>11781</v>
      </c>
      <c r="I494" s="13">
        <v>589.04999999999995</v>
      </c>
      <c r="J494" s="13">
        <v>8415</v>
      </c>
      <c r="K494" s="5">
        <v>41821</v>
      </c>
    </row>
    <row r="495" spans="1:11" x14ac:dyDescent="0.3">
      <c r="A495" s="7" t="s">
        <v>15</v>
      </c>
      <c r="B495" s="8" t="s">
        <v>26</v>
      </c>
      <c r="C495" s="8" t="s">
        <v>17</v>
      </c>
      <c r="D495" s="8" t="s">
        <v>14</v>
      </c>
      <c r="E495" s="11">
        <v>1808</v>
      </c>
      <c r="F495" s="13">
        <v>120</v>
      </c>
      <c r="G495" s="13">
        <v>7</v>
      </c>
      <c r="H495" s="13">
        <v>12656</v>
      </c>
      <c r="I495" s="13">
        <v>1392.16</v>
      </c>
      <c r="J495" s="13">
        <v>9040</v>
      </c>
      <c r="K495" s="5">
        <v>41944</v>
      </c>
    </row>
    <row r="496" spans="1:11" x14ac:dyDescent="0.3">
      <c r="A496" s="7" t="s">
        <v>15</v>
      </c>
      <c r="B496" s="8" t="s">
        <v>25</v>
      </c>
      <c r="C496" s="8" t="s">
        <v>17</v>
      </c>
      <c r="D496" s="8" t="s">
        <v>16</v>
      </c>
      <c r="E496" s="11">
        <v>609</v>
      </c>
      <c r="F496" s="13">
        <v>120</v>
      </c>
      <c r="G496" s="13">
        <v>20</v>
      </c>
      <c r="H496" s="13">
        <v>12180</v>
      </c>
      <c r="I496" s="13">
        <v>852.6</v>
      </c>
      <c r="J496" s="13">
        <v>6090</v>
      </c>
      <c r="K496" s="5">
        <v>41852</v>
      </c>
    </row>
    <row r="497" spans="1:11" x14ac:dyDescent="0.3">
      <c r="A497" s="7" t="s">
        <v>15</v>
      </c>
      <c r="B497" s="8" t="s">
        <v>25</v>
      </c>
      <c r="C497" s="8" t="s">
        <v>18</v>
      </c>
      <c r="D497" s="8" t="s">
        <v>19</v>
      </c>
      <c r="E497" s="11">
        <v>1760</v>
      </c>
      <c r="F497" s="13">
        <v>10</v>
      </c>
      <c r="G497" s="13">
        <v>7</v>
      </c>
      <c r="H497" s="13">
        <v>12320</v>
      </c>
      <c r="I497" s="13">
        <v>369.6</v>
      </c>
      <c r="J497" s="13">
        <v>8800</v>
      </c>
      <c r="K497" s="5">
        <v>41518</v>
      </c>
    </row>
    <row r="498" spans="1:11" x14ac:dyDescent="0.3">
      <c r="A498" s="7" t="s">
        <v>15</v>
      </c>
      <c r="B498" s="8" t="s">
        <v>25</v>
      </c>
      <c r="C498" s="8" t="s">
        <v>18</v>
      </c>
      <c r="D498" s="8" t="s">
        <v>16</v>
      </c>
      <c r="E498" s="11">
        <v>1946</v>
      </c>
      <c r="F498" s="13">
        <v>10</v>
      </c>
      <c r="G498" s="13">
        <v>7</v>
      </c>
      <c r="H498" s="13">
        <v>13622</v>
      </c>
      <c r="I498" s="13">
        <v>1089.76</v>
      </c>
      <c r="J498" s="13">
        <v>9730</v>
      </c>
      <c r="K498" s="5">
        <v>41609</v>
      </c>
    </row>
    <row r="499" spans="1:11" x14ac:dyDescent="0.3">
      <c r="A499" s="7" t="s">
        <v>15</v>
      </c>
      <c r="B499" s="8" t="s">
        <v>26</v>
      </c>
      <c r="C499" s="8" t="s">
        <v>27</v>
      </c>
      <c r="D499" s="8" t="s">
        <v>19</v>
      </c>
      <c r="E499" s="11">
        <v>1830</v>
      </c>
      <c r="F499" s="13">
        <v>5</v>
      </c>
      <c r="G499" s="13">
        <v>7</v>
      </c>
      <c r="H499" s="13">
        <v>12810</v>
      </c>
      <c r="I499" s="13">
        <v>128.1</v>
      </c>
      <c r="J499" s="13">
        <v>9150</v>
      </c>
      <c r="K499" s="5">
        <v>41852</v>
      </c>
    </row>
    <row r="500" spans="1:11" x14ac:dyDescent="0.3">
      <c r="A500" s="7" t="s">
        <v>29</v>
      </c>
      <c r="B500" s="8" t="s">
        <v>25</v>
      </c>
      <c r="C500" s="8" t="s">
        <v>18</v>
      </c>
      <c r="D500" s="8" t="s">
        <v>19</v>
      </c>
      <c r="E500" s="11">
        <v>1084</v>
      </c>
      <c r="F500" s="13">
        <v>10</v>
      </c>
      <c r="G500" s="13">
        <v>12</v>
      </c>
      <c r="H500" s="13">
        <v>13008</v>
      </c>
      <c r="I500" s="13">
        <v>260.16000000000003</v>
      </c>
      <c r="J500" s="13">
        <v>3252</v>
      </c>
      <c r="K500" s="5">
        <v>41974</v>
      </c>
    </row>
    <row r="501" spans="1:11" x14ac:dyDescent="0.3">
      <c r="A501" s="7" t="s">
        <v>29</v>
      </c>
      <c r="B501" s="8" t="s">
        <v>25</v>
      </c>
      <c r="C501" s="8" t="s">
        <v>17</v>
      </c>
      <c r="D501" s="8" t="s">
        <v>19</v>
      </c>
      <c r="E501" s="11">
        <v>1084</v>
      </c>
      <c r="F501" s="13">
        <v>120</v>
      </c>
      <c r="G501" s="13">
        <v>12</v>
      </c>
      <c r="H501" s="13">
        <v>13008</v>
      </c>
      <c r="I501" s="13">
        <v>260.16000000000003</v>
      </c>
      <c r="J501" s="13">
        <v>3252</v>
      </c>
      <c r="K501" s="5">
        <v>41974</v>
      </c>
    </row>
    <row r="502" spans="1:11" x14ac:dyDescent="0.3">
      <c r="A502" s="7" t="s">
        <v>29</v>
      </c>
      <c r="B502" s="8" t="s">
        <v>25</v>
      </c>
      <c r="C502" s="8" t="s">
        <v>13</v>
      </c>
      <c r="D502" s="8" t="s">
        <v>16</v>
      </c>
      <c r="E502" s="11">
        <v>1123</v>
      </c>
      <c r="F502" s="13">
        <v>260</v>
      </c>
      <c r="G502" s="13">
        <v>12</v>
      </c>
      <c r="H502" s="13">
        <v>13476</v>
      </c>
      <c r="I502" s="13">
        <v>673.8</v>
      </c>
      <c r="J502" s="13">
        <v>3369</v>
      </c>
      <c r="K502" s="5">
        <v>41852</v>
      </c>
    </row>
    <row r="503" spans="1:11" x14ac:dyDescent="0.3">
      <c r="A503" s="7" t="s">
        <v>15</v>
      </c>
      <c r="B503" s="8" t="s">
        <v>26</v>
      </c>
      <c r="C503" s="8" t="s">
        <v>13</v>
      </c>
      <c r="D503" s="8" t="s">
        <v>16</v>
      </c>
      <c r="E503" s="11">
        <v>708</v>
      </c>
      <c r="F503" s="13">
        <v>260</v>
      </c>
      <c r="G503" s="13">
        <v>20</v>
      </c>
      <c r="H503" s="13">
        <v>14160</v>
      </c>
      <c r="I503" s="13">
        <v>1132.8</v>
      </c>
      <c r="J503" s="13">
        <v>7080</v>
      </c>
      <c r="K503" s="5">
        <v>41791</v>
      </c>
    </row>
    <row r="504" spans="1:11" x14ac:dyDescent="0.3">
      <c r="A504" s="7" t="s">
        <v>15</v>
      </c>
      <c r="B504" s="8" t="s">
        <v>26</v>
      </c>
      <c r="C504" s="8" t="s">
        <v>27</v>
      </c>
      <c r="D504" s="8" t="s">
        <v>16</v>
      </c>
      <c r="E504" s="11">
        <v>708</v>
      </c>
      <c r="F504" s="13">
        <v>5</v>
      </c>
      <c r="G504" s="13">
        <v>20</v>
      </c>
      <c r="H504" s="13">
        <v>14160</v>
      </c>
      <c r="I504" s="13">
        <v>1132.8</v>
      </c>
      <c r="J504" s="13">
        <v>7080</v>
      </c>
      <c r="K504" s="5">
        <v>41791</v>
      </c>
    </row>
    <row r="505" spans="1:11" x14ac:dyDescent="0.3">
      <c r="A505" s="7" t="s">
        <v>29</v>
      </c>
      <c r="B505" s="8" t="s">
        <v>24</v>
      </c>
      <c r="C505" s="8" t="s">
        <v>27</v>
      </c>
      <c r="D505" s="8" t="s">
        <v>19</v>
      </c>
      <c r="E505" s="11">
        <v>1142</v>
      </c>
      <c r="F505" s="13">
        <v>5</v>
      </c>
      <c r="G505" s="13">
        <v>12</v>
      </c>
      <c r="H505" s="13">
        <v>13704</v>
      </c>
      <c r="I505" s="13">
        <v>274.08</v>
      </c>
      <c r="J505" s="13">
        <v>3426</v>
      </c>
      <c r="K505" s="5">
        <v>41791</v>
      </c>
    </row>
    <row r="506" spans="1:11" x14ac:dyDescent="0.3">
      <c r="A506" s="7" t="s">
        <v>29</v>
      </c>
      <c r="B506" s="8" t="s">
        <v>24</v>
      </c>
      <c r="C506" s="8" t="s">
        <v>18</v>
      </c>
      <c r="D506" s="8" t="s">
        <v>19</v>
      </c>
      <c r="E506" s="11">
        <v>1142</v>
      </c>
      <c r="F506" s="13">
        <v>10</v>
      </c>
      <c r="G506" s="13">
        <v>12</v>
      </c>
      <c r="H506" s="13">
        <v>13704</v>
      </c>
      <c r="I506" s="13">
        <v>274.08</v>
      </c>
      <c r="J506" s="13">
        <v>3426</v>
      </c>
      <c r="K506" s="5">
        <v>41791</v>
      </c>
    </row>
    <row r="507" spans="1:11" x14ac:dyDescent="0.3">
      <c r="A507" s="7" t="s">
        <v>15</v>
      </c>
      <c r="B507" s="8" t="s">
        <v>24</v>
      </c>
      <c r="C507" s="8" t="s">
        <v>18</v>
      </c>
      <c r="D507" s="8" t="s">
        <v>19</v>
      </c>
      <c r="E507" s="11">
        <v>2013</v>
      </c>
      <c r="F507" s="13">
        <v>10</v>
      </c>
      <c r="G507" s="13">
        <v>7</v>
      </c>
      <c r="H507" s="13">
        <v>14091</v>
      </c>
      <c r="I507" s="13">
        <v>281.82</v>
      </c>
      <c r="J507" s="13">
        <v>10065</v>
      </c>
      <c r="K507" s="5">
        <v>41609</v>
      </c>
    </row>
    <row r="508" spans="1:11" x14ac:dyDescent="0.3">
      <c r="A508" s="7" t="s">
        <v>15</v>
      </c>
      <c r="B508" s="8" t="s">
        <v>24</v>
      </c>
      <c r="C508" s="8" t="s">
        <v>17</v>
      </c>
      <c r="D508" s="8" t="s">
        <v>19</v>
      </c>
      <c r="E508" s="11">
        <v>736</v>
      </c>
      <c r="F508" s="13">
        <v>120</v>
      </c>
      <c r="G508" s="13">
        <v>20</v>
      </c>
      <c r="H508" s="13">
        <v>14720</v>
      </c>
      <c r="I508" s="13">
        <v>588.79999999999995</v>
      </c>
      <c r="J508" s="13">
        <v>7360</v>
      </c>
      <c r="K508" s="5">
        <v>41518</v>
      </c>
    </row>
    <row r="509" spans="1:11" x14ac:dyDescent="0.3">
      <c r="A509" s="7" t="s">
        <v>15</v>
      </c>
      <c r="B509" s="8" t="s">
        <v>26</v>
      </c>
      <c r="C509" s="8" t="s">
        <v>17</v>
      </c>
      <c r="D509" s="8" t="s">
        <v>19</v>
      </c>
      <c r="E509" s="11">
        <v>2092</v>
      </c>
      <c r="F509" s="13">
        <v>120</v>
      </c>
      <c r="G509" s="13">
        <v>7</v>
      </c>
      <c r="H509" s="13">
        <v>14644</v>
      </c>
      <c r="I509" s="13">
        <v>146.44</v>
      </c>
      <c r="J509" s="13">
        <v>10460</v>
      </c>
      <c r="K509" s="5">
        <v>41579</v>
      </c>
    </row>
    <row r="510" spans="1:11" x14ac:dyDescent="0.3">
      <c r="A510" s="7" t="s">
        <v>30</v>
      </c>
      <c r="B510" s="8" t="s">
        <v>25</v>
      </c>
      <c r="C510" s="8" t="s">
        <v>18</v>
      </c>
      <c r="D510" s="8" t="s">
        <v>22</v>
      </c>
      <c r="E510" s="11">
        <v>974</v>
      </c>
      <c r="F510" s="13">
        <v>10</v>
      </c>
      <c r="G510" s="13">
        <v>15</v>
      </c>
      <c r="H510" s="13">
        <v>14610</v>
      </c>
      <c r="I510" s="13">
        <v>0</v>
      </c>
      <c r="J510" s="13">
        <v>9740</v>
      </c>
      <c r="K510" s="5">
        <v>41671</v>
      </c>
    </row>
    <row r="511" spans="1:11" x14ac:dyDescent="0.3">
      <c r="A511" s="7" t="s">
        <v>15</v>
      </c>
      <c r="B511" s="8" t="s">
        <v>24</v>
      </c>
      <c r="C511" s="8" t="s">
        <v>27</v>
      </c>
      <c r="D511" s="8" t="s">
        <v>14</v>
      </c>
      <c r="E511" s="11">
        <v>2328</v>
      </c>
      <c r="F511" s="13">
        <v>5</v>
      </c>
      <c r="G511" s="13">
        <v>7</v>
      </c>
      <c r="H511" s="13">
        <v>16296</v>
      </c>
      <c r="I511" s="13">
        <v>1629.6</v>
      </c>
      <c r="J511" s="13">
        <v>11640</v>
      </c>
      <c r="K511" s="5">
        <v>41883</v>
      </c>
    </row>
    <row r="512" spans="1:11" x14ac:dyDescent="0.3">
      <c r="A512" s="7" t="s">
        <v>15</v>
      </c>
      <c r="B512" s="8" t="s">
        <v>26</v>
      </c>
      <c r="C512" s="8" t="s">
        <v>20</v>
      </c>
      <c r="D512" s="8" t="s">
        <v>14</v>
      </c>
      <c r="E512" s="11">
        <v>865.5</v>
      </c>
      <c r="F512" s="13">
        <v>250</v>
      </c>
      <c r="G512" s="13">
        <v>20</v>
      </c>
      <c r="H512" s="13">
        <v>17310</v>
      </c>
      <c r="I512" s="13">
        <v>2596.5</v>
      </c>
      <c r="J512" s="13">
        <v>8655</v>
      </c>
      <c r="K512" s="5">
        <v>41821</v>
      </c>
    </row>
    <row r="513" spans="1:11" x14ac:dyDescent="0.3">
      <c r="A513" s="7" t="s">
        <v>15</v>
      </c>
      <c r="B513" s="8" t="s">
        <v>25</v>
      </c>
      <c r="C513" s="8" t="s">
        <v>27</v>
      </c>
      <c r="D513" s="8" t="s">
        <v>14</v>
      </c>
      <c r="E513" s="11">
        <v>2420</v>
      </c>
      <c r="F513" s="13">
        <v>5</v>
      </c>
      <c r="G513" s="13">
        <v>7</v>
      </c>
      <c r="H513" s="13">
        <v>16940</v>
      </c>
      <c r="I513" s="13">
        <v>2032.8</v>
      </c>
      <c r="J513" s="13">
        <v>12100</v>
      </c>
      <c r="K513" s="5">
        <v>41883</v>
      </c>
    </row>
    <row r="514" spans="1:11" x14ac:dyDescent="0.3">
      <c r="A514" s="7" t="s">
        <v>15</v>
      </c>
      <c r="B514" s="8" t="s">
        <v>25</v>
      </c>
      <c r="C514" s="8" t="s">
        <v>18</v>
      </c>
      <c r="D514" s="8" t="s">
        <v>14</v>
      </c>
      <c r="E514" s="11">
        <v>2535</v>
      </c>
      <c r="F514" s="13">
        <v>10</v>
      </c>
      <c r="G514" s="13">
        <v>7</v>
      </c>
      <c r="H514" s="13">
        <v>17745</v>
      </c>
      <c r="I514" s="13">
        <v>2661.75</v>
      </c>
      <c r="J514" s="13">
        <v>12675</v>
      </c>
      <c r="K514" s="5">
        <v>41730</v>
      </c>
    </row>
    <row r="515" spans="1:11" x14ac:dyDescent="0.3">
      <c r="A515" s="7" t="s">
        <v>29</v>
      </c>
      <c r="B515" s="8" t="s">
        <v>25</v>
      </c>
      <c r="C515" s="8" t="s">
        <v>13</v>
      </c>
      <c r="D515" s="8" t="s">
        <v>16</v>
      </c>
      <c r="E515" s="11">
        <v>1375</v>
      </c>
      <c r="F515" s="13">
        <v>260</v>
      </c>
      <c r="G515" s="13">
        <v>12</v>
      </c>
      <c r="H515" s="13">
        <v>16500</v>
      </c>
      <c r="I515" s="13">
        <v>1320</v>
      </c>
      <c r="J515" s="13">
        <v>4125</v>
      </c>
      <c r="K515" s="5">
        <v>41609</v>
      </c>
    </row>
    <row r="516" spans="1:11" x14ac:dyDescent="0.3">
      <c r="A516" s="7" t="s">
        <v>29</v>
      </c>
      <c r="B516" s="8" t="s">
        <v>26</v>
      </c>
      <c r="C516" s="8" t="s">
        <v>21</v>
      </c>
      <c r="D516" s="8" t="s">
        <v>19</v>
      </c>
      <c r="E516" s="11">
        <v>1295</v>
      </c>
      <c r="F516" s="13">
        <v>3</v>
      </c>
      <c r="G516" s="13">
        <v>12</v>
      </c>
      <c r="H516" s="13">
        <v>15540</v>
      </c>
      <c r="I516" s="13">
        <v>310.8</v>
      </c>
      <c r="J516" s="13">
        <v>3885</v>
      </c>
      <c r="K516" s="5">
        <v>41913</v>
      </c>
    </row>
    <row r="517" spans="1:11" x14ac:dyDescent="0.3">
      <c r="A517" s="7" t="s">
        <v>29</v>
      </c>
      <c r="B517" s="8" t="s">
        <v>26</v>
      </c>
      <c r="C517" s="8" t="s">
        <v>18</v>
      </c>
      <c r="D517" s="8" t="s">
        <v>19</v>
      </c>
      <c r="E517" s="11">
        <v>1295</v>
      </c>
      <c r="F517" s="13">
        <v>10</v>
      </c>
      <c r="G517" s="13">
        <v>12</v>
      </c>
      <c r="H517" s="13">
        <v>15540</v>
      </c>
      <c r="I517" s="13">
        <v>310.8</v>
      </c>
      <c r="J517" s="13">
        <v>3885</v>
      </c>
      <c r="K517" s="5">
        <v>41913</v>
      </c>
    </row>
    <row r="518" spans="1:11" x14ac:dyDescent="0.3">
      <c r="A518" s="7" t="s">
        <v>15</v>
      </c>
      <c r="B518" s="8" t="s">
        <v>24</v>
      </c>
      <c r="C518" s="8" t="s">
        <v>18</v>
      </c>
      <c r="D518" s="8" t="s">
        <v>16</v>
      </c>
      <c r="E518" s="11">
        <v>2327</v>
      </c>
      <c r="F518" s="13">
        <v>10</v>
      </c>
      <c r="G518" s="13">
        <v>7</v>
      </c>
      <c r="H518" s="13">
        <v>16289</v>
      </c>
      <c r="I518" s="13">
        <v>814.45</v>
      </c>
      <c r="J518" s="13">
        <v>11635</v>
      </c>
      <c r="K518" s="5">
        <v>41760</v>
      </c>
    </row>
    <row r="519" spans="1:11" x14ac:dyDescent="0.3">
      <c r="A519" s="7" t="s">
        <v>15</v>
      </c>
      <c r="B519" s="8" t="s">
        <v>26</v>
      </c>
      <c r="C519" s="8" t="s">
        <v>18</v>
      </c>
      <c r="D519" s="8" t="s">
        <v>16</v>
      </c>
      <c r="E519" s="11">
        <v>2349</v>
      </c>
      <c r="F519" s="13">
        <v>10</v>
      </c>
      <c r="G519" s="13">
        <v>7</v>
      </c>
      <c r="H519" s="13">
        <v>16443</v>
      </c>
      <c r="I519" s="13">
        <v>822.15</v>
      </c>
      <c r="J519" s="13">
        <v>11745</v>
      </c>
      <c r="K519" s="5">
        <v>41518</v>
      </c>
    </row>
    <row r="520" spans="1:11" x14ac:dyDescent="0.3">
      <c r="A520" s="7" t="s">
        <v>15</v>
      </c>
      <c r="B520" s="8" t="s">
        <v>25</v>
      </c>
      <c r="C520" s="8" t="s">
        <v>18</v>
      </c>
      <c r="D520" s="8" t="s">
        <v>14</v>
      </c>
      <c r="E520" s="11">
        <v>905</v>
      </c>
      <c r="F520" s="13">
        <v>10</v>
      </c>
      <c r="G520" s="13">
        <v>20</v>
      </c>
      <c r="H520" s="13">
        <v>18100</v>
      </c>
      <c r="I520" s="13">
        <v>2172</v>
      </c>
      <c r="J520" s="13">
        <v>9050</v>
      </c>
      <c r="K520" s="5">
        <v>41913</v>
      </c>
    </row>
    <row r="521" spans="1:11" x14ac:dyDescent="0.3">
      <c r="A521" s="7" t="s">
        <v>15</v>
      </c>
      <c r="B521" s="8" t="s">
        <v>25</v>
      </c>
      <c r="C521" s="8" t="s">
        <v>17</v>
      </c>
      <c r="D521" s="8" t="s">
        <v>14</v>
      </c>
      <c r="E521" s="11">
        <v>905</v>
      </c>
      <c r="F521" s="13">
        <v>120</v>
      </c>
      <c r="G521" s="13">
        <v>20</v>
      </c>
      <c r="H521" s="13">
        <v>18100</v>
      </c>
      <c r="I521" s="13">
        <v>2172</v>
      </c>
      <c r="J521" s="13">
        <v>9050</v>
      </c>
      <c r="K521" s="5">
        <v>41913</v>
      </c>
    </row>
    <row r="522" spans="1:11" x14ac:dyDescent="0.3">
      <c r="A522" s="7" t="s">
        <v>29</v>
      </c>
      <c r="B522" s="8" t="s">
        <v>24</v>
      </c>
      <c r="C522" s="8" t="s">
        <v>18</v>
      </c>
      <c r="D522" s="8" t="s">
        <v>19</v>
      </c>
      <c r="E522" s="11">
        <v>1369.5</v>
      </c>
      <c r="F522" s="13">
        <v>10</v>
      </c>
      <c r="G522" s="13">
        <v>12</v>
      </c>
      <c r="H522" s="13">
        <v>16434</v>
      </c>
      <c r="I522" s="13">
        <v>493.02</v>
      </c>
      <c r="J522" s="13">
        <v>4108.5</v>
      </c>
      <c r="K522" s="5">
        <v>41821</v>
      </c>
    </row>
    <row r="523" spans="1:11" x14ac:dyDescent="0.3">
      <c r="A523" s="7" t="s">
        <v>15</v>
      </c>
      <c r="B523" s="8" t="s">
        <v>26</v>
      </c>
      <c r="C523" s="8" t="s">
        <v>21</v>
      </c>
      <c r="D523" s="8" t="s">
        <v>19</v>
      </c>
      <c r="E523" s="11">
        <v>831</v>
      </c>
      <c r="F523" s="13">
        <v>3</v>
      </c>
      <c r="G523" s="13">
        <v>20</v>
      </c>
      <c r="H523" s="13">
        <v>16620</v>
      </c>
      <c r="I523" s="13">
        <v>498.6</v>
      </c>
      <c r="J523" s="13">
        <v>8310</v>
      </c>
      <c r="K523" s="5">
        <v>41760</v>
      </c>
    </row>
    <row r="524" spans="1:11" x14ac:dyDescent="0.3">
      <c r="A524" s="7" t="s">
        <v>30</v>
      </c>
      <c r="B524" s="8" t="s">
        <v>24</v>
      </c>
      <c r="C524" s="8" t="s">
        <v>18</v>
      </c>
      <c r="D524" s="8" t="s">
        <v>16</v>
      </c>
      <c r="E524" s="11">
        <v>1153</v>
      </c>
      <c r="F524" s="13">
        <v>10</v>
      </c>
      <c r="G524" s="13">
        <v>15</v>
      </c>
      <c r="H524" s="13">
        <v>17295</v>
      </c>
      <c r="I524" s="13">
        <v>1037.7</v>
      </c>
      <c r="J524" s="13">
        <v>11530</v>
      </c>
      <c r="K524" s="5">
        <v>41913</v>
      </c>
    </row>
    <row r="525" spans="1:11" x14ac:dyDescent="0.3">
      <c r="A525" s="7" t="s">
        <v>30</v>
      </c>
      <c r="B525" s="8" t="s">
        <v>24</v>
      </c>
      <c r="C525" s="8" t="s">
        <v>20</v>
      </c>
      <c r="D525" s="8" t="s">
        <v>16</v>
      </c>
      <c r="E525" s="11">
        <v>1153</v>
      </c>
      <c r="F525" s="13">
        <v>250</v>
      </c>
      <c r="G525" s="13">
        <v>15</v>
      </c>
      <c r="H525" s="13">
        <v>17295</v>
      </c>
      <c r="I525" s="13">
        <v>1037.7</v>
      </c>
      <c r="J525" s="13">
        <v>11530</v>
      </c>
      <c r="K525" s="5">
        <v>41913</v>
      </c>
    </row>
    <row r="526" spans="1:11" x14ac:dyDescent="0.3">
      <c r="A526" s="7" t="s">
        <v>15</v>
      </c>
      <c r="B526" s="8" t="s">
        <v>26</v>
      </c>
      <c r="C526" s="8" t="s">
        <v>13</v>
      </c>
      <c r="D526" s="8" t="s">
        <v>14</v>
      </c>
      <c r="E526" s="11">
        <v>2734</v>
      </c>
      <c r="F526" s="13">
        <v>260</v>
      </c>
      <c r="G526" s="13">
        <v>7</v>
      </c>
      <c r="H526" s="13">
        <v>19138</v>
      </c>
      <c r="I526" s="13">
        <v>2296.56</v>
      </c>
      <c r="J526" s="13">
        <v>13670</v>
      </c>
      <c r="K526" s="5">
        <v>41913</v>
      </c>
    </row>
    <row r="527" spans="1:11" x14ac:dyDescent="0.3">
      <c r="A527" s="7" t="s">
        <v>15</v>
      </c>
      <c r="B527" s="8" t="s">
        <v>26</v>
      </c>
      <c r="C527" s="8" t="s">
        <v>27</v>
      </c>
      <c r="D527" s="8" t="s">
        <v>14</v>
      </c>
      <c r="E527" s="11">
        <v>2734</v>
      </c>
      <c r="F527" s="13">
        <v>5</v>
      </c>
      <c r="G527" s="13">
        <v>7</v>
      </c>
      <c r="H527" s="13">
        <v>19138</v>
      </c>
      <c r="I527" s="13">
        <v>2296.56</v>
      </c>
      <c r="J527" s="13">
        <v>13670</v>
      </c>
      <c r="K527" s="5">
        <v>41913</v>
      </c>
    </row>
    <row r="528" spans="1:11" x14ac:dyDescent="0.3">
      <c r="A528" s="7" t="s">
        <v>15</v>
      </c>
      <c r="B528" s="8" t="s">
        <v>25</v>
      </c>
      <c r="C528" s="8" t="s">
        <v>21</v>
      </c>
      <c r="D528" s="8" t="s">
        <v>14</v>
      </c>
      <c r="E528" s="11">
        <v>2706</v>
      </c>
      <c r="F528" s="13">
        <v>3</v>
      </c>
      <c r="G528" s="13">
        <v>7</v>
      </c>
      <c r="H528" s="13">
        <v>18942</v>
      </c>
      <c r="I528" s="13">
        <v>2083.62</v>
      </c>
      <c r="J528" s="13">
        <v>13530</v>
      </c>
      <c r="K528" s="5">
        <v>41579</v>
      </c>
    </row>
    <row r="529" spans="1:11" x14ac:dyDescent="0.3">
      <c r="A529" s="7" t="s">
        <v>29</v>
      </c>
      <c r="B529" s="8" t="s">
        <v>24</v>
      </c>
      <c r="C529" s="8" t="s">
        <v>17</v>
      </c>
      <c r="D529" s="8" t="s">
        <v>19</v>
      </c>
      <c r="E529" s="11">
        <v>1465</v>
      </c>
      <c r="F529" s="13">
        <v>120</v>
      </c>
      <c r="G529" s="13">
        <v>12</v>
      </c>
      <c r="H529" s="13">
        <v>17580</v>
      </c>
      <c r="I529" s="13">
        <v>703.2</v>
      </c>
      <c r="J529" s="13">
        <v>4395</v>
      </c>
      <c r="K529" s="5">
        <v>41699</v>
      </c>
    </row>
    <row r="530" spans="1:11" x14ac:dyDescent="0.3">
      <c r="A530" s="7" t="s">
        <v>29</v>
      </c>
      <c r="B530" s="8" t="s">
        <v>26</v>
      </c>
      <c r="C530" s="8" t="s">
        <v>21</v>
      </c>
      <c r="D530" s="8" t="s">
        <v>19</v>
      </c>
      <c r="E530" s="11">
        <v>1445</v>
      </c>
      <c r="F530" s="13">
        <v>3</v>
      </c>
      <c r="G530" s="13">
        <v>12</v>
      </c>
      <c r="H530" s="13">
        <v>17340</v>
      </c>
      <c r="I530" s="13">
        <v>173.4</v>
      </c>
      <c r="J530" s="13">
        <v>4335</v>
      </c>
      <c r="K530" s="5">
        <v>41883</v>
      </c>
    </row>
    <row r="531" spans="1:11" x14ac:dyDescent="0.3">
      <c r="A531" s="7" t="s">
        <v>15</v>
      </c>
      <c r="B531" s="8" t="s">
        <v>25</v>
      </c>
      <c r="C531" s="8" t="s">
        <v>20</v>
      </c>
      <c r="D531" s="8" t="s">
        <v>14</v>
      </c>
      <c r="E531" s="11">
        <v>2903</v>
      </c>
      <c r="F531" s="13">
        <v>250</v>
      </c>
      <c r="G531" s="13">
        <v>7</v>
      </c>
      <c r="H531" s="13">
        <v>20321</v>
      </c>
      <c r="I531" s="13">
        <v>2844.94</v>
      </c>
      <c r="J531" s="13">
        <v>14515</v>
      </c>
      <c r="K531" s="5">
        <v>41699</v>
      </c>
    </row>
    <row r="532" spans="1:11" x14ac:dyDescent="0.3">
      <c r="A532" s="7" t="s">
        <v>15</v>
      </c>
      <c r="B532" s="8" t="s">
        <v>24</v>
      </c>
      <c r="C532" s="8" t="s">
        <v>21</v>
      </c>
      <c r="D532" s="8" t="s">
        <v>19</v>
      </c>
      <c r="E532" s="11">
        <v>2529</v>
      </c>
      <c r="F532" s="13">
        <v>3</v>
      </c>
      <c r="G532" s="13">
        <v>7</v>
      </c>
      <c r="H532" s="13">
        <v>17703</v>
      </c>
      <c r="I532" s="13">
        <v>177.03</v>
      </c>
      <c r="J532" s="13">
        <v>12645</v>
      </c>
      <c r="K532" s="5">
        <v>41821</v>
      </c>
    </row>
    <row r="533" spans="1:11" x14ac:dyDescent="0.3">
      <c r="A533" s="7" t="s">
        <v>30</v>
      </c>
      <c r="B533" s="8" t="s">
        <v>26</v>
      </c>
      <c r="C533" s="8" t="s">
        <v>17</v>
      </c>
      <c r="D533" s="8" t="s">
        <v>16</v>
      </c>
      <c r="E533" s="11">
        <v>1262</v>
      </c>
      <c r="F533" s="13">
        <v>120</v>
      </c>
      <c r="G533" s="13">
        <v>15</v>
      </c>
      <c r="H533" s="13">
        <v>18930</v>
      </c>
      <c r="I533" s="13">
        <v>1325.1</v>
      </c>
      <c r="J533" s="13">
        <v>12620</v>
      </c>
      <c r="K533" s="5">
        <v>41760</v>
      </c>
    </row>
    <row r="534" spans="1:11" x14ac:dyDescent="0.3">
      <c r="A534" s="7" t="s">
        <v>15</v>
      </c>
      <c r="B534" s="8" t="s">
        <v>24</v>
      </c>
      <c r="C534" s="8" t="s">
        <v>18</v>
      </c>
      <c r="D534" s="8" t="s">
        <v>16</v>
      </c>
      <c r="E534" s="11">
        <v>973</v>
      </c>
      <c r="F534" s="13">
        <v>10</v>
      </c>
      <c r="G534" s="13">
        <v>20</v>
      </c>
      <c r="H534" s="13">
        <v>19460</v>
      </c>
      <c r="I534" s="13">
        <v>1751.4</v>
      </c>
      <c r="J534" s="13">
        <v>9730</v>
      </c>
      <c r="K534" s="5">
        <v>41699</v>
      </c>
    </row>
    <row r="535" spans="1:11" x14ac:dyDescent="0.3">
      <c r="A535" s="7" t="s">
        <v>15</v>
      </c>
      <c r="B535" s="8" t="s">
        <v>25</v>
      </c>
      <c r="C535" s="8" t="s">
        <v>18</v>
      </c>
      <c r="D535" s="8" t="s">
        <v>16</v>
      </c>
      <c r="E535" s="11">
        <v>2689</v>
      </c>
      <c r="F535" s="13">
        <v>10</v>
      </c>
      <c r="G535" s="13">
        <v>7</v>
      </c>
      <c r="H535" s="13">
        <v>18823</v>
      </c>
      <c r="I535" s="13">
        <v>941.15</v>
      </c>
      <c r="J535" s="13">
        <v>13445</v>
      </c>
      <c r="K535" s="5">
        <v>41913</v>
      </c>
    </row>
    <row r="536" spans="1:11" x14ac:dyDescent="0.3">
      <c r="A536" s="7" t="s">
        <v>15</v>
      </c>
      <c r="B536" s="8" t="s">
        <v>25</v>
      </c>
      <c r="C536" s="8" t="s">
        <v>20</v>
      </c>
      <c r="D536" s="8" t="s">
        <v>16</v>
      </c>
      <c r="E536" s="11">
        <v>2689</v>
      </c>
      <c r="F536" s="13">
        <v>250</v>
      </c>
      <c r="G536" s="13">
        <v>7</v>
      </c>
      <c r="H536" s="13">
        <v>18823</v>
      </c>
      <c r="I536" s="13">
        <v>941.15</v>
      </c>
      <c r="J536" s="13">
        <v>13445</v>
      </c>
      <c r="K536" s="5">
        <v>41913</v>
      </c>
    </row>
    <row r="537" spans="1:11" x14ac:dyDescent="0.3">
      <c r="A537" s="7" t="s">
        <v>15</v>
      </c>
      <c r="B537" s="8" t="s">
        <v>24</v>
      </c>
      <c r="C537" s="8" t="s">
        <v>21</v>
      </c>
      <c r="D537" s="8" t="s">
        <v>14</v>
      </c>
      <c r="E537" s="11">
        <v>2996</v>
      </c>
      <c r="F537" s="13">
        <v>3</v>
      </c>
      <c r="G537" s="13">
        <v>7</v>
      </c>
      <c r="H537" s="13">
        <v>20972</v>
      </c>
      <c r="I537" s="13">
        <v>2936.08</v>
      </c>
      <c r="J537" s="13">
        <v>14980</v>
      </c>
      <c r="K537" s="5">
        <v>41548</v>
      </c>
    </row>
    <row r="538" spans="1:11" x14ac:dyDescent="0.3">
      <c r="A538" s="7" t="s">
        <v>15</v>
      </c>
      <c r="B538" s="8" t="s">
        <v>24</v>
      </c>
      <c r="C538" s="8" t="s">
        <v>27</v>
      </c>
      <c r="D538" s="8" t="s">
        <v>14</v>
      </c>
      <c r="E538" s="11">
        <v>2996</v>
      </c>
      <c r="F538" s="13">
        <v>5</v>
      </c>
      <c r="G538" s="13">
        <v>7</v>
      </c>
      <c r="H538" s="13">
        <v>20972</v>
      </c>
      <c r="I538" s="13">
        <v>2936.08</v>
      </c>
      <c r="J538" s="13">
        <v>14980</v>
      </c>
      <c r="K538" s="5">
        <v>41548</v>
      </c>
    </row>
    <row r="539" spans="1:11" x14ac:dyDescent="0.3">
      <c r="A539" s="7" t="s">
        <v>29</v>
      </c>
      <c r="B539" s="8" t="s">
        <v>24</v>
      </c>
      <c r="C539" s="8" t="s">
        <v>20</v>
      </c>
      <c r="D539" s="8" t="s">
        <v>14</v>
      </c>
      <c r="E539" s="11">
        <v>1806</v>
      </c>
      <c r="F539" s="13">
        <v>250</v>
      </c>
      <c r="G539" s="13">
        <v>12</v>
      </c>
      <c r="H539" s="13">
        <v>21672</v>
      </c>
      <c r="I539" s="13">
        <v>3250.8</v>
      </c>
      <c r="J539" s="13">
        <v>5418</v>
      </c>
      <c r="K539" s="5">
        <v>41760</v>
      </c>
    </row>
    <row r="540" spans="1:11" x14ac:dyDescent="0.3">
      <c r="A540" s="7" t="s">
        <v>15</v>
      </c>
      <c r="B540" s="8" t="s">
        <v>24</v>
      </c>
      <c r="C540" s="8" t="s">
        <v>13</v>
      </c>
      <c r="D540" s="8" t="s">
        <v>16</v>
      </c>
      <c r="E540" s="11">
        <v>2907</v>
      </c>
      <c r="F540" s="13">
        <v>260</v>
      </c>
      <c r="G540" s="13">
        <v>7</v>
      </c>
      <c r="H540" s="13">
        <v>20349</v>
      </c>
      <c r="I540" s="13">
        <v>1627.92</v>
      </c>
      <c r="J540" s="13">
        <v>14535</v>
      </c>
      <c r="K540" s="5">
        <v>41791</v>
      </c>
    </row>
    <row r="541" spans="1:11" x14ac:dyDescent="0.3">
      <c r="A541" s="7" t="s">
        <v>15</v>
      </c>
      <c r="B541" s="8" t="s">
        <v>24</v>
      </c>
      <c r="C541" s="8" t="s">
        <v>17</v>
      </c>
      <c r="D541" s="8" t="s">
        <v>16</v>
      </c>
      <c r="E541" s="11">
        <v>2907</v>
      </c>
      <c r="F541" s="13">
        <v>120</v>
      </c>
      <c r="G541" s="13">
        <v>7</v>
      </c>
      <c r="H541" s="13">
        <v>20349</v>
      </c>
      <c r="I541" s="13">
        <v>1627.92</v>
      </c>
      <c r="J541" s="13">
        <v>14535</v>
      </c>
      <c r="K541" s="5">
        <v>41791</v>
      </c>
    </row>
    <row r="542" spans="1:11" x14ac:dyDescent="0.3">
      <c r="A542" s="7" t="s">
        <v>15</v>
      </c>
      <c r="B542" s="8" t="s">
        <v>25</v>
      </c>
      <c r="C542" s="8" t="s">
        <v>13</v>
      </c>
      <c r="D542" s="8" t="s">
        <v>16</v>
      </c>
      <c r="E542" s="11">
        <v>1038</v>
      </c>
      <c r="F542" s="13">
        <v>260</v>
      </c>
      <c r="G542" s="13">
        <v>20</v>
      </c>
      <c r="H542" s="13">
        <v>20760</v>
      </c>
      <c r="I542" s="13">
        <v>1868.4</v>
      </c>
      <c r="J542" s="13">
        <v>10380</v>
      </c>
      <c r="K542" s="5">
        <v>41791</v>
      </c>
    </row>
    <row r="543" spans="1:11" x14ac:dyDescent="0.3">
      <c r="A543" s="7" t="s">
        <v>15</v>
      </c>
      <c r="B543" s="8" t="s">
        <v>25</v>
      </c>
      <c r="C543" s="8" t="s">
        <v>18</v>
      </c>
      <c r="D543" s="8" t="s">
        <v>16</v>
      </c>
      <c r="E543" s="11">
        <v>1038</v>
      </c>
      <c r="F543" s="13">
        <v>10</v>
      </c>
      <c r="G543" s="13">
        <v>20</v>
      </c>
      <c r="H543" s="13">
        <v>20760</v>
      </c>
      <c r="I543" s="13">
        <v>1868.4</v>
      </c>
      <c r="J543" s="13">
        <v>10380</v>
      </c>
      <c r="K543" s="5">
        <v>41791</v>
      </c>
    </row>
    <row r="544" spans="1:11" x14ac:dyDescent="0.3">
      <c r="A544" s="7" t="s">
        <v>15</v>
      </c>
      <c r="B544" s="8" t="s">
        <v>26</v>
      </c>
      <c r="C544" s="8" t="s">
        <v>21</v>
      </c>
      <c r="D544" s="8" t="s">
        <v>19</v>
      </c>
      <c r="E544" s="11">
        <v>2851</v>
      </c>
      <c r="F544" s="13">
        <v>3</v>
      </c>
      <c r="G544" s="13">
        <v>7</v>
      </c>
      <c r="H544" s="13">
        <v>19957</v>
      </c>
      <c r="I544" s="13">
        <v>798.28</v>
      </c>
      <c r="J544" s="13">
        <v>14255</v>
      </c>
      <c r="K544" s="5">
        <v>41548</v>
      </c>
    </row>
    <row r="545" spans="1:11" x14ac:dyDescent="0.3">
      <c r="A545" s="7" t="s">
        <v>15</v>
      </c>
      <c r="B545" s="8" t="s">
        <v>26</v>
      </c>
      <c r="C545" s="8" t="s">
        <v>27</v>
      </c>
      <c r="D545" s="8" t="s">
        <v>19</v>
      </c>
      <c r="E545" s="11">
        <v>2851</v>
      </c>
      <c r="F545" s="13">
        <v>5</v>
      </c>
      <c r="G545" s="13">
        <v>7</v>
      </c>
      <c r="H545" s="13">
        <v>19957</v>
      </c>
      <c r="I545" s="13">
        <v>798.28</v>
      </c>
      <c r="J545" s="13">
        <v>14255</v>
      </c>
      <c r="K545" s="5">
        <v>41548</v>
      </c>
    </row>
    <row r="546" spans="1:11" x14ac:dyDescent="0.3">
      <c r="A546" s="7" t="s">
        <v>15</v>
      </c>
      <c r="B546" s="8" t="s">
        <v>25</v>
      </c>
      <c r="C546" s="8" t="s">
        <v>18</v>
      </c>
      <c r="D546" s="8" t="s">
        <v>14</v>
      </c>
      <c r="E546" s="11">
        <v>1122</v>
      </c>
      <c r="F546" s="13">
        <v>10</v>
      </c>
      <c r="G546" s="13">
        <v>20</v>
      </c>
      <c r="H546" s="13">
        <v>22440</v>
      </c>
      <c r="I546" s="13">
        <v>2468.4</v>
      </c>
      <c r="J546" s="13">
        <v>11220</v>
      </c>
      <c r="K546" s="5">
        <v>41699</v>
      </c>
    </row>
    <row r="547" spans="1:11" x14ac:dyDescent="0.3">
      <c r="A547" s="7" t="s">
        <v>15</v>
      </c>
      <c r="B547" s="8" t="s">
        <v>24</v>
      </c>
      <c r="C547" s="8" t="s">
        <v>18</v>
      </c>
      <c r="D547" s="8" t="s">
        <v>19</v>
      </c>
      <c r="E547" s="11">
        <v>1056</v>
      </c>
      <c r="F547" s="13">
        <v>10</v>
      </c>
      <c r="G547" s="13">
        <v>20</v>
      </c>
      <c r="H547" s="13">
        <v>21120</v>
      </c>
      <c r="I547" s="13">
        <v>844.8</v>
      </c>
      <c r="J547" s="13">
        <v>10560</v>
      </c>
      <c r="K547" s="5">
        <v>41883</v>
      </c>
    </row>
    <row r="548" spans="1:11" x14ac:dyDescent="0.3">
      <c r="A548" s="7" t="s">
        <v>30</v>
      </c>
      <c r="B548" s="8" t="s">
        <v>26</v>
      </c>
      <c r="C548" s="8" t="s">
        <v>18</v>
      </c>
      <c r="D548" s="8" t="s">
        <v>14</v>
      </c>
      <c r="E548" s="11">
        <v>1565</v>
      </c>
      <c r="F548" s="13">
        <v>10</v>
      </c>
      <c r="G548" s="13">
        <v>15</v>
      </c>
      <c r="H548" s="13">
        <v>23475</v>
      </c>
      <c r="I548" s="13">
        <v>3051.75</v>
      </c>
      <c r="J548" s="13">
        <v>15650</v>
      </c>
      <c r="K548" s="5">
        <v>41913</v>
      </c>
    </row>
    <row r="549" spans="1:11" x14ac:dyDescent="0.3">
      <c r="A549" s="7" t="s">
        <v>30</v>
      </c>
      <c r="B549" s="8" t="s">
        <v>26</v>
      </c>
      <c r="C549" s="8" t="s">
        <v>20</v>
      </c>
      <c r="D549" s="8" t="s">
        <v>14</v>
      </c>
      <c r="E549" s="11">
        <v>1565</v>
      </c>
      <c r="F549" s="13">
        <v>250</v>
      </c>
      <c r="G549" s="13">
        <v>15</v>
      </c>
      <c r="H549" s="13">
        <v>23475</v>
      </c>
      <c r="I549" s="13">
        <v>3051.75</v>
      </c>
      <c r="J549" s="13">
        <v>15650</v>
      </c>
      <c r="K549" s="5">
        <v>41913</v>
      </c>
    </row>
    <row r="550" spans="1:11" x14ac:dyDescent="0.3">
      <c r="A550" s="7" t="s">
        <v>30</v>
      </c>
      <c r="B550" s="8" t="s">
        <v>26</v>
      </c>
      <c r="C550" s="8" t="s">
        <v>18</v>
      </c>
      <c r="D550" s="8" t="s">
        <v>14</v>
      </c>
      <c r="E550" s="11">
        <v>1614</v>
      </c>
      <c r="F550" s="13">
        <v>10</v>
      </c>
      <c r="G550" s="13">
        <v>15</v>
      </c>
      <c r="H550" s="13">
        <v>24210</v>
      </c>
      <c r="I550" s="13">
        <v>3631.5</v>
      </c>
      <c r="J550" s="13">
        <v>16140</v>
      </c>
      <c r="K550" s="5">
        <v>41730</v>
      </c>
    </row>
    <row r="551" spans="1:11" x14ac:dyDescent="0.3">
      <c r="A551" s="7" t="s">
        <v>29</v>
      </c>
      <c r="B551" s="8" t="s">
        <v>26</v>
      </c>
      <c r="C551" s="8" t="s">
        <v>21</v>
      </c>
      <c r="D551" s="8" t="s">
        <v>14</v>
      </c>
      <c r="E551" s="11">
        <v>1937</v>
      </c>
      <c r="F551" s="13">
        <v>3</v>
      </c>
      <c r="G551" s="13">
        <v>12</v>
      </c>
      <c r="H551" s="13">
        <v>23244</v>
      </c>
      <c r="I551" s="13">
        <v>2556.84</v>
      </c>
      <c r="J551" s="13">
        <v>5811</v>
      </c>
      <c r="K551" s="5">
        <v>41671</v>
      </c>
    </row>
    <row r="552" spans="1:11" x14ac:dyDescent="0.3">
      <c r="A552" s="7" t="s">
        <v>29</v>
      </c>
      <c r="B552" s="8" t="s">
        <v>24</v>
      </c>
      <c r="C552" s="8" t="s">
        <v>13</v>
      </c>
      <c r="D552" s="8" t="s">
        <v>14</v>
      </c>
      <c r="E552" s="11">
        <v>2015</v>
      </c>
      <c r="F552" s="13">
        <v>260</v>
      </c>
      <c r="G552" s="13">
        <v>12</v>
      </c>
      <c r="H552" s="13">
        <v>24180</v>
      </c>
      <c r="I552" s="13">
        <v>3385.2</v>
      </c>
      <c r="J552" s="13">
        <v>6045</v>
      </c>
      <c r="K552" s="5">
        <v>41609</v>
      </c>
    </row>
    <row r="553" spans="1:11" x14ac:dyDescent="0.3">
      <c r="A553" s="7" t="s">
        <v>15</v>
      </c>
      <c r="B553" s="8" t="s">
        <v>26</v>
      </c>
      <c r="C553" s="8" t="s">
        <v>13</v>
      </c>
      <c r="D553" s="8" t="s">
        <v>16</v>
      </c>
      <c r="E553" s="11">
        <v>1118</v>
      </c>
      <c r="F553" s="13">
        <v>260</v>
      </c>
      <c r="G553" s="13">
        <v>20</v>
      </c>
      <c r="H553" s="13">
        <v>22360</v>
      </c>
      <c r="I553" s="13">
        <v>1565.2</v>
      </c>
      <c r="J553" s="13">
        <v>11180</v>
      </c>
      <c r="K553" s="5">
        <v>41944</v>
      </c>
    </row>
    <row r="554" spans="1:11" x14ac:dyDescent="0.3">
      <c r="A554" s="7" t="s">
        <v>30</v>
      </c>
      <c r="B554" s="8" t="s">
        <v>26</v>
      </c>
      <c r="C554" s="8" t="s">
        <v>21</v>
      </c>
      <c r="D554" s="8" t="s">
        <v>14</v>
      </c>
      <c r="E554" s="11">
        <v>1560</v>
      </c>
      <c r="F554" s="13">
        <v>3</v>
      </c>
      <c r="G554" s="13">
        <v>15</v>
      </c>
      <c r="H554" s="13">
        <v>23400</v>
      </c>
      <c r="I554" s="13">
        <v>2574</v>
      </c>
      <c r="J554" s="13">
        <v>15600</v>
      </c>
      <c r="K554" s="5">
        <v>41579</v>
      </c>
    </row>
    <row r="555" spans="1:11" x14ac:dyDescent="0.3">
      <c r="A555" s="7" t="s">
        <v>15</v>
      </c>
      <c r="B555" s="8" t="s">
        <v>24</v>
      </c>
      <c r="C555" s="8" t="s">
        <v>21</v>
      </c>
      <c r="D555" s="8" t="s">
        <v>16</v>
      </c>
      <c r="E555" s="11">
        <v>1117.5</v>
      </c>
      <c r="F555" s="13">
        <v>3</v>
      </c>
      <c r="G555" s="13">
        <v>20</v>
      </c>
      <c r="H555" s="13">
        <v>22350</v>
      </c>
      <c r="I555" s="13">
        <v>1341</v>
      </c>
      <c r="J555" s="13">
        <v>11175</v>
      </c>
      <c r="K555" s="5">
        <v>41640</v>
      </c>
    </row>
    <row r="556" spans="1:11" x14ac:dyDescent="0.3">
      <c r="A556" s="7" t="s">
        <v>29</v>
      </c>
      <c r="B556" s="8" t="s">
        <v>26</v>
      </c>
      <c r="C556" s="8" t="s">
        <v>21</v>
      </c>
      <c r="D556" s="8" t="s">
        <v>16</v>
      </c>
      <c r="E556" s="11">
        <v>1884</v>
      </c>
      <c r="F556" s="13">
        <v>3</v>
      </c>
      <c r="G556" s="13">
        <v>12</v>
      </c>
      <c r="H556" s="13">
        <v>22608</v>
      </c>
      <c r="I556" s="13">
        <v>1582.56</v>
      </c>
      <c r="J556" s="13">
        <v>5652</v>
      </c>
      <c r="K556" s="5">
        <v>41852</v>
      </c>
    </row>
    <row r="557" spans="1:11" x14ac:dyDescent="0.3">
      <c r="A557" s="7" t="s">
        <v>15</v>
      </c>
      <c r="B557" s="8" t="s">
        <v>25</v>
      </c>
      <c r="C557" s="8" t="s">
        <v>20</v>
      </c>
      <c r="D557" s="8" t="s">
        <v>16</v>
      </c>
      <c r="E557" s="11">
        <v>1123</v>
      </c>
      <c r="F557" s="13">
        <v>250</v>
      </c>
      <c r="G557" s="13">
        <v>20</v>
      </c>
      <c r="H557" s="13">
        <v>22460</v>
      </c>
      <c r="I557" s="13">
        <v>1347.6</v>
      </c>
      <c r="J557" s="13">
        <v>11230</v>
      </c>
      <c r="K557" s="5">
        <v>41579</v>
      </c>
    </row>
    <row r="558" spans="1:11" x14ac:dyDescent="0.3">
      <c r="A558" s="7" t="s">
        <v>29</v>
      </c>
      <c r="B558" s="8" t="s">
        <v>24</v>
      </c>
      <c r="C558" s="8" t="s">
        <v>20</v>
      </c>
      <c r="D558" s="8" t="s">
        <v>16</v>
      </c>
      <c r="E558" s="11">
        <v>1956</v>
      </c>
      <c r="F558" s="13">
        <v>250</v>
      </c>
      <c r="G558" s="13">
        <v>12</v>
      </c>
      <c r="H558" s="13">
        <v>23472</v>
      </c>
      <c r="I558" s="13">
        <v>2112.48</v>
      </c>
      <c r="J558" s="13">
        <v>5868</v>
      </c>
      <c r="K558" s="5">
        <v>41640</v>
      </c>
    </row>
    <row r="559" spans="1:11" x14ac:dyDescent="0.3">
      <c r="A559" s="7" t="s">
        <v>15</v>
      </c>
      <c r="B559" s="8" t="s">
        <v>25</v>
      </c>
      <c r="C559" s="8" t="s">
        <v>18</v>
      </c>
      <c r="D559" s="8" t="s">
        <v>14</v>
      </c>
      <c r="E559" s="11">
        <v>1233</v>
      </c>
      <c r="F559" s="13">
        <v>10</v>
      </c>
      <c r="G559" s="13">
        <v>20</v>
      </c>
      <c r="H559" s="13">
        <v>24660</v>
      </c>
      <c r="I559" s="13">
        <v>2959.2</v>
      </c>
      <c r="J559" s="13">
        <v>12330</v>
      </c>
      <c r="K559" s="5">
        <v>41974</v>
      </c>
    </row>
    <row r="560" spans="1:11" x14ac:dyDescent="0.3">
      <c r="A560" s="7" t="s">
        <v>15</v>
      </c>
      <c r="B560" s="8" t="s">
        <v>25</v>
      </c>
      <c r="C560" s="8" t="s">
        <v>20</v>
      </c>
      <c r="D560" s="8" t="s">
        <v>14</v>
      </c>
      <c r="E560" s="11">
        <v>1233</v>
      </c>
      <c r="F560" s="13">
        <v>250</v>
      </c>
      <c r="G560" s="13">
        <v>20</v>
      </c>
      <c r="H560" s="13">
        <v>24660</v>
      </c>
      <c r="I560" s="13">
        <v>2959.2</v>
      </c>
      <c r="J560" s="13">
        <v>12330</v>
      </c>
      <c r="K560" s="5">
        <v>41974</v>
      </c>
    </row>
    <row r="561" spans="1:11" x14ac:dyDescent="0.3">
      <c r="A561" s="7" t="s">
        <v>15</v>
      </c>
      <c r="B561" s="8" t="s">
        <v>26</v>
      </c>
      <c r="C561" s="8" t="s">
        <v>27</v>
      </c>
      <c r="D561" s="8" t="s">
        <v>14</v>
      </c>
      <c r="E561" s="11">
        <v>1249</v>
      </c>
      <c r="F561" s="13">
        <v>5</v>
      </c>
      <c r="G561" s="13">
        <v>20</v>
      </c>
      <c r="H561" s="13">
        <v>24980</v>
      </c>
      <c r="I561" s="13">
        <v>3247.4</v>
      </c>
      <c r="J561" s="13">
        <v>12490</v>
      </c>
      <c r="K561" s="5">
        <v>41913</v>
      </c>
    </row>
    <row r="562" spans="1:11" x14ac:dyDescent="0.3">
      <c r="A562" s="7" t="s">
        <v>15</v>
      </c>
      <c r="B562" s="8" t="s">
        <v>26</v>
      </c>
      <c r="C562" s="8" t="s">
        <v>18</v>
      </c>
      <c r="D562" s="8" t="s">
        <v>14</v>
      </c>
      <c r="E562" s="11">
        <v>1249</v>
      </c>
      <c r="F562" s="13">
        <v>10</v>
      </c>
      <c r="G562" s="13">
        <v>20</v>
      </c>
      <c r="H562" s="13">
        <v>24980</v>
      </c>
      <c r="I562" s="13">
        <v>3247.4</v>
      </c>
      <c r="J562" s="13">
        <v>12490</v>
      </c>
      <c r="K562" s="5">
        <v>41913</v>
      </c>
    </row>
    <row r="563" spans="1:11" x14ac:dyDescent="0.3">
      <c r="A563" s="7" t="s">
        <v>30</v>
      </c>
      <c r="B563" s="8" t="s">
        <v>25</v>
      </c>
      <c r="C563" s="8" t="s">
        <v>18</v>
      </c>
      <c r="D563" s="8" t="s">
        <v>19</v>
      </c>
      <c r="E563" s="11">
        <v>1514</v>
      </c>
      <c r="F563" s="13">
        <v>10</v>
      </c>
      <c r="G563" s="13">
        <v>15</v>
      </c>
      <c r="H563" s="13">
        <v>22710</v>
      </c>
      <c r="I563" s="13">
        <v>908.4</v>
      </c>
      <c r="J563" s="13">
        <v>15140</v>
      </c>
      <c r="K563" s="5">
        <v>41548</v>
      </c>
    </row>
    <row r="564" spans="1:11" x14ac:dyDescent="0.3">
      <c r="A564" s="7" t="s">
        <v>30</v>
      </c>
      <c r="B564" s="8" t="s">
        <v>25</v>
      </c>
      <c r="C564" s="8" t="s">
        <v>20</v>
      </c>
      <c r="D564" s="8" t="s">
        <v>19</v>
      </c>
      <c r="E564" s="11">
        <v>1514</v>
      </c>
      <c r="F564" s="13">
        <v>250</v>
      </c>
      <c r="G564" s="13">
        <v>15</v>
      </c>
      <c r="H564" s="13">
        <v>22710</v>
      </c>
      <c r="I564" s="13">
        <v>908.4</v>
      </c>
      <c r="J564" s="13">
        <v>15140</v>
      </c>
      <c r="K564" s="5">
        <v>41548</v>
      </c>
    </row>
    <row r="565" spans="1:11" x14ac:dyDescent="0.3">
      <c r="A565" s="7" t="s">
        <v>29</v>
      </c>
      <c r="B565" s="8" t="s">
        <v>24</v>
      </c>
      <c r="C565" s="8" t="s">
        <v>21</v>
      </c>
      <c r="D565" s="8" t="s">
        <v>19</v>
      </c>
      <c r="E565" s="11">
        <v>1858</v>
      </c>
      <c r="F565" s="13">
        <v>3</v>
      </c>
      <c r="G565" s="13">
        <v>12</v>
      </c>
      <c r="H565" s="13">
        <v>22296</v>
      </c>
      <c r="I565" s="13">
        <v>222.96</v>
      </c>
      <c r="J565" s="13">
        <v>5574</v>
      </c>
      <c r="K565" s="5">
        <v>41671</v>
      </c>
    </row>
    <row r="566" spans="1:11" x14ac:dyDescent="0.3">
      <c r="A566" s="7" t="s">
        <v>30</v>
      </c>
      <c r="B566" s="8" t="s">
        <v>26</v>
      </c>
      <c r="C566" s="8" t="s">
        <v>13</v>
      </c>
      <c r="D566" s="8" t="s">
        <v>16</v>
      </c>
      <c r="E566" s="11">
        <v>1630.5</v>
      </c>
      <c r="F566" s="13">
        <v>260</v>
      </c>
      <c r="G566" s="13">
        <v>15</v>
      </c>
      <c r="H566" s="13">
        <v>24457.5</v>
      </c>
      <c r="I566" s="13">
        <v>2201.1750000000002</v>
      </c>
      <c r="J566" s="13">
        <v>16305</v>
      </c>
      <c r="K566" s="5">
        <v>41821</v>
      </c>
    </row>
    <row r="567" spans="1:11" x14ac:dyDescent="0.3">
      <c r="A567" s="7" t="s">
        <v>29</v>
      </c>
      <c r="B567" s="8" t="s">
        <v>26</v>
      </c>
      <c r="C567" s="8" t="s">
        <v>20</v>
      </c>
      <c r="D567" s="8" t="s">
        <v>14</v>
      </c>
      <c r="E567" s="11">
        <v>2109</v>
      </c>
      <c r="F567" s="13">
        <v>250</v>
      </c>
      <c r="G567" s="13">
        <v>12</v>
      </c>
      <c r="H567" s="13">
        <v>25308</v>
      </c>
      <c r="I567" s="13">
        <v>3036.96</v>
      </c>
      <c r="J567" s="13">
        <v>6327</v>
      </c>
      <c r="K567" s="5">
        <v>41760</v>
      </c>
    </row>
    <row r="568" spans="1:11" x14ac:dyDescent="0.3">
      <c r="A568" s="7" t="s">
        <v>29</v>
      </c>
      <c r="B568" s="8" t="s">
        <v>25</v>
      </c>
      <c r="C568" s="8" t="s">
        <v>20</v>
      </c>
      <c r="D568" s="8" t="s">
        <v>19</v>
      </c>
      <c r="E568" s="11">
        <v>1916</v>
      </c>
      <c r="F568" s="13">
        <v>250</v>
      </c>
      <c r="G568" s="13">
        <v>12</v>
      </c>
      <c r="H568" s="13">
        <v>22992</v>
      </c>
      <c r="I568" s="13">
        <v>689.76</v>
      </c>
      <c r="J568" s="13">
        <v>5748</v>
      </c>
      <c r="K568" s="5">
        <v>41730</v>
      </c>
    </row>
    <row r="569" spans="1:11" x14ac:dyDescent="0.3">
      <c r="A569" s="7" t="s">
        <v>30</v>
      </c>
      <c r="B569" s="8" t="s">
        <v>24</v>
      </c>
      <c r="C569" s="8" t="s">
        <v>18</v>
      </c>
      <c r="D569" s="8" t="s">
        <v>19</v>
      </c>
      <c r="E569" s="11">
        <v>1514</v>
      </c>
      <c r="F569" s="13">
        <v>10</v>
      </c>
      <c r="G569" s="13">
        <v>15</v>
      </c>
      <c r="H569" s="13">
        <v>22710</v>
      </c>
      <c r="I569" s="13">
        <v>227.1</v>
      </c>
      <c r="J569" s="13">
        <v>15140</v>
      </c>
      <c r="K569" s="5">
        <v>41671</v>
      </c>
    </row>
    <row r="570" spans="1:11" x14ac:dyDescent="0.3">
      <c r="A570" s="7" t="s">
        <v>30</v>
      </c>
      <c r="B570" s="8" t="s">
        <v>26</v>
      </c>
      <c r="C570" s="8" t="s">
        <v>13</v>
      </c>
      <c r="D570" s="8" t="s">
        <v>14</v>
      </c>
      <c r="E570" s="11">
        <v>1743</v>
      </c>
      <c r="F570" s="13">
        <v>260</v>
      </c>
      <c r="G570" s="13">
        <v>15</v>
      </c>
      <c r="H570" s="13">
        <v>26145</v>
      </c>
      <c r="I570" s="13">
        <v>3660.3</v>
      </c>
      <c r="J570" s="13">
        <v>17430</v>
      </c>
      <c r="K570" s="5">
        <v>41548</v>
      </c>
    </row>
    <row r="571" spans="1:11" x14ac:dyDescent="0.3">
      <c r="A571" s="7" t="s">
        <v>30</v>
      </c>
      <c r="B571" s="8" t="s">
        <v>26</v>
      </c>
      <c r="C571" s="8" t="s">
        <v>18</v>
      </c>
      <c r="D571" s="8" t="s">
        <v>14</v>
      </c>
      <c r="E571" s="11">
        <v>1743</v>
      </c>
      <c r="F571" s="13">
        <v>10</v>
      </c>
      <c r="G571" s="13">
        <v>15</v>
      </c>
      <c r="H571" s="13">
        <v>26145</v>
      </c>
      <c r="I571" s="13">
        <v>3660.3</v>
      </c>
      <c r="J571" s="13">
        <v>17430</v>
      </c>
      <c r="K571" s="5">
        <v>41548</v>
      </c>
    </row>
    <row r="572" spans="1:11" x14ac:dyDescent="0.3">
      <c r="A572" s="7" t="s">
        <v>29</v>
      </c>
      <c r="B572" s="8" t="s">
        <v>24</v>
      </c>
      <c r="C572" s="8" t="s">
        <v>21</v>
      </c>
      <c r="D572" s="8" t="s">
        <v>19</v>
      </c>
      <c r="E572" s="11">
        <v>1947</v>
      </c>
      <c r="F572" s="13">
        <v>3</v>
      </c>
      <c r="G572" s="13">
        <v>12</v>
      </c>
      <c r="H572" s="13">
        <v>23364</v>
      </c>
      <c r="I572" s="13">
        <v>700.92</v>
      </c>
      <c r="J572" s="13">
        <v>5841</v>
      </c>
      <c r="K572" s="5">
        <v>41883</v>
      </c>
    </row>
    <row r="573" spans="1:11" x14ac:dyDescent="0.3">
      <c r="A573" s="7" t="s">
        <v>30</v>
      </c>
      <c r="B573" s="8" t="s">
        <v>24</v>
      </c>
      <c r="C573" s="8" t="s">
        <v>18</v>
      </c>
      <c r="D573" s="8" t="s">
        <v>14</v>
      </c>
      <c r="E573" s="11">
        <v>1767</v>
      </c>
      <c r="F573" s="13">
        <v>10</v>
      </c>
      <c r="G573" s="13">
        <v>15</v>
      </c>
      <c r="H573" s="13">
        <v>26505</v>
      </c>
      <c r="I573" s="13">
        <v>3710.7</v>
      </c>
      <c r="J573" s="13">
        <v>17670</v>
      </c>
      <c r="K573" s="5">
        <v>41883</v>
      </c>
    </row>
    <row r="574" spans="1:11" x14ac:dyDescent="0.3">
      <c r="A574" s="7" t="s">
        <v>29</v>
      </c>
      <c r="B574" s="8" t="s">
        <v>26</v>
      </c>
      <c r="C574" s="8" t="s">
        <v>18</v>
      </c>
      <c r="D574" s="8" t="s">
        <v>14</v>
      </c>
      <c r="E574" s="11">
        <v>2222</v>
      </c>
      <c r="F574" s="13">
        <v>10</v>
      </c>
      <c r="G574" s="13">
        <v>12</v>
      </c>
      <c r="H574" s="13">
        <v>26664</v>
      </c>
      <c r="I574" s="13">
        <v>3732.96</v>
      </c>
      <c r="J574" s="13">
        <v>6666</v>
      </c>
      <c r="K574" s="5">
        <v>41579</v>
      </c>
    </row>
    <row r="575" spans="1:11" x14ac:dyDescent="0.3">
      <c r="A575" s="7" t="s">
        <v>29</v>
      </c>
      <c r="B575" s="8" t="s">
        <v>24</v>
      </c>
      <c r="C575" s="8" t="s">
        <v>13</v>
      </c>
      <c r="D575" s="8" t="s">
        <v>22</v>
      </c>
      <c r="E575" s="11">
        <v>1953</v>
      </c>
      <c r="F575" s="13">
        <v>260</v>
      </c>
      <c r="G575" s="13">
        <v>12</v>
      </c>
      <c r="H575" s="13">
        <v>23436</v>
      </c>
      <c r="I575" s="13">
        <v>0</v>
      </c>
      <c r="J575" s="13">
        <v>5859</v>
      </c>
      <c r="K575" s="5">
        <v>41730</v>
      </c>
    </row>
    <row r="576" spans="1:11" x14ac:dyDescent="0.3">
      <c r="A576" s="7" t="s">
        <v>15</v>
      </c>
      <c r="B576" s="8" t="s">
        <v>24</v>
      </c>
      <c r="C576" s="8" t="s">
        <v>13</v>
      </c>
      <c r="D576" s="8" t="s">
        <v>16</v>
      </c>
      <c r="E576" s="11">
        <v>1282</v>
      </c>
      <c r="F576" s="13">
        <v>260</v>
      </c>
      <c r="G576" s="13">
        <v>20</v>
      </c>
      <c r="H576" s="13">
        <v>25640</v>
      </c>
      <c r="I576" s="13">
        <v>2051.1999999999998</v>
      </c>
      <c r="J576" s="13">
        <v>12820</v>
      </c>
      <c r="K576" s="5">
        <v>41791</v>
      </c>
    </row>
    <row r="577" spans="1:11" x14ac:dyDescent="0.3">
      <c r="A577" s="7" t="s">
        <v>15</v>
      </c>
      <c r="B577" s="8" t="s">
        <v>24</v>
      </c>
      <c r="C577" s="8" t="s">
        <v>27</v>
      </c>
      <c r="D577" s="8" t="s">
        <v>16</v>
      </c>
      <c r="E577" s="11">
        <v>1282</v>
      </c>
      <c r="F577" s="13">
        <v>5</v>
      </c>
      <c r="G577" s="13">
        <v>20</v>
      </c>
      <c r="H577" s="13">
        <v>25640</v>
      </c>
      <c r="I577" s="13">
        <v>2051.1999999999998</v>
      </c>
      <c r="J577" s="13">
        <v>12820</v>
      </c>
      <c r="K577" s="5">
        <v>41791</v>
      </c>
    </row>
    <row r="578" spans="1:11" x14ac:dyDescent="0.3">
      <c r="A578" s="7" t="s">
        <v>29</v>
      </c>
      <c r="B578" s="8" t="s">
        <v>24</v>
      </c>
      <c r="C578" s="8" t="s">
        <v>13</v>
      </c>
      <c r="D578" s="8" t="s">
        <v>19</v>
      </c>
      <c r="E578" s="11">
        <v>1989</v>
      </c>
      <c r="F578" s="13">
        <v>260</v>
      </c>
      <c r="G578" s="13">
        <v>12</v>
      </c>
      <c r="H578" s="13">
        <v>23868</v>
      </c>
      <c r="I578" s="13">
        <v>238.68</v>
      </c>
      <c r="J578" s="13">
        <v>5967</v>
      </c>
      <c r="K578" s="5">
        <v>41518</v>
      </c>
    </row>
    <row r="579" spans="1:11" x14ac:dyDescent="0.3">
      <c r="A579" s="7" t="s">
        <v>15</v>
      </c>
      <c r="B579" s="8" t="s">
        <v>24</v>
      </c>
      <c r="C579" s="8" t="s">
        <v>20</v>
      </c>
      <c r="D579" s="8" t="s">
        <v>16</v>
      </c>
      <c r="E579" s="11">
        <v>1265</v>
      </c>
      <c r="F579" s="13">
        <v>250</v>
      </c>
      <c r="G579" s="13">
        <v>20</v>
      </c>
      <c r="H579" s="13">
        <v>25300</v>
      </c>
      <c r="I579" s="13">
        <v>1265</v>
      </c>
      <c r="J579" s="13">
        <v>12650</v>
      </c>
      <c r="K579" s="5">
        <v>41579</v>
      </c>
    </row>
    <row r="580" spans="1:11" x14ac:dyDescent="0.3">
      <c r="A580" s="7" t="s">
        <v>30</v>
      </c>
      <c r="B580" s="8" t="s">
        <v>25</v>
      </c>
      <c r="C580" s="8" t="s">
        <v>13</v>
      </c>
      <c r="D580" s="8" t="s">
        <v>14</v>
      </c>
      <c r="E580" s="11">
        <v>1870</v>
      </c>
      <c r="F580" s="13">
        <v>260</v>
      </c>
      <c r="G580" s="13">
        <v>15</v>
      </c>
      <c r="H580" s="13">
        <v>28050</v>
      </c>
      <c r="I580" s="13">
        <v>3927</v>
      </c>
      <c r="J580" s="13">
        <v>18700</v>
      </c>
      <c r="K580" s="5">
        <v>41579</v>
      </c>
    </row>
    <row r="581" spans="1:11" x14ac:dyDescent="0.3">
      <c r="A581" s="7" t="s">
        <v>15</v>
      </c>
      <c r="B581" s="8" t="s">
        <v>24</v>
      </c>
      <c r="C581" s="8" t="s">
        <v>13</v>
      </c>
      <c r="D581" s="8" t="s">
        <v>19</v>
      </c>
      <c r="E581" s="11">
        <v>1236</v>
      </c>
      <c r="F581" s="13">
        <v>260</v>
      </c>
      <c r="G581" s="13">
        <v>20</v>
      </c>
      <c r="H581" s="13">
        <v>24720</v>
      </c>
      <c r="I581" s="13">
        <v>494.4</v>
      </c>
      <c r="J581" s="13">
        <v>12360</v>
      </c>
      <c r="K581" s="5">
        <v>41944</v>
      </c>
    </row>
    <row r="582" spans="1:11" x14ac:dyDescent="0.3">
      <c r="A582" s="7" t="s">
        <v>29</v>
      </c>
      <c r="B582" s="8" t="s">
        <v>26</v>
      </c>
      <c r="C582" s="8" t="s">
        <v>27</v>
      </c>
      <c r="D582" s="8" t="s">
        <v>16</v>
      </c>
      <c r="E582" s="11">
        <v>2321</v>
      </c>
      <c r="F582" s="13">
        <v>5</v>
      </c>
      <c r="G582" s="13">
        <v>12</v>
      </c>
      <c r="H582" s="13">
        <v>27852</v>
      </c>
      <c r="I582" s="13">
        <v>2506.6799999999998</v>
      </c>
      <c r="J582" s="13">
        <v>6963</v>
      </c>
      <c r="K582" s="5">
        <v>41944</v>
      </c>
    </row>
    <row r="583" spans="1:11" x14ac:dyDescent="0.3">
      <c r="A583" s="7" t="s">
        <v>29</v>
      </c>
      <c r="B583" s="8" t="s">
        <v>24</v>
      </c>
      <c r="C583" s="8" t="s">
        <v>13</v>
      </c>
      <c r="D583" s="8" t="s">
        <v>22</v>
      </c>
      <c r="E583" s="11">
        <v>2141</v>
      </c>
      <c r="F583" s="13">
        <v>260</v>
      </c>
      <c r="G583" s="13">
        <v>12</v>
      </c>
      <c r="H583" s="13">
        <v>25692</v>
      </c>
      <c r="I583" s="13">
        <v>0</v>
      </c>
      <c r="J583" s="13">
        <v>6423</v>
      </c>
      <c r="K583" s="5">
        <v>41852</v>
      </c>
    </row>
    <row r="584" spans="1:11" x14ac:dyDescent="0.3">
      <c r="A584" s="7" t="s">
        <v>29</v>
      </c>
      <c r="B584" s="8" t="s">
        <v>26</v>
      </c>
      <c r="C584" s="8" t="s">
        <v>21</v>
      </c>
      <c r="D584" s="8" t="s">
        <v>16</v>
      </c>
      <c r="E584" s="11">
        <v>2299</v>
      </c>
      <c r="F584" s="13">
        <v>3</v>
      </c>
      <c r="G584" s="13">
        <v>12</v>
      </c>
      <c r="H584" s="13">
        <v>27588</v>
      </c>
      <c r="I584" s="13">
        <v>1655.28</v>
      </c>
      <c r="J584" s="13">
        <v>6897</v>
      </c>
      <c r="K584" s="5">
        <v>41548</v>
      </c>
    </row>
    <row r="585" spans="1:11" x14ac:dyDescent="0.3">
      <c r="A585" s="7" t="s">
        <v>29</v>
      </c>
      <c r="B585" s="8" t="s">
        <v>26</v>
      </c>
      <c r="C585" s="8" t="s">
        <v>18</v>
      </c>
      <c r="D585" s="8" t="s">
        <v>16</v>
      </c>
      <c r="E585" s="11">
        <v>2299</v>
      </c>
      <c r="F585" s="13">
        <v>10</v>
      </c>
      <c r="G585" s="13">
        <v>12</v>
      </c>
      <c r="H585" s="13">
        <v>27588</v>
      </c>
      <c r="I585" s="13">
        <v>1655.28</v>
      </c>
      <c r="J585" s="13">
        <v>6897</v>
      </c>
      <c r="K585" s="5">
        <v>41548</v>
      </c>
    </row>
    <row r="586" spans="1:11" x14ac:dyDescent="0.3">
      <c r="A586" s="7" t="s">
        <v>29</v>
      </c>
      <c r="B586" s="8" t="s">
        <v>25</v>
      </c>
      <c r="C586" s="8" t="s">
        <v>27</v>
      </c>
      <c r="D586" s="8" t="s">
        <v>16</v>
      </c>
      <c r="E586" s="11">
        <v>2340</v>
      </c>
      <c r="F586" s="13">
        <v>5</v>
      </c>
      <c r="G586" s="13">
        <v>12</v>
      </c>
      <c r="H586" s="13">
        <v>28080</v>
      </c>
      <c r="I586" s="13">
        <v>1965.6</v>
      </c>
      <c r="J586" s="13">
        <v>7020</v>
      </c>
      <c r="K586" s="5">
        <v>41640</v>
      </c>
    </row>
    <row r="587" spans="1:11" x14ac:dyDescent="0.3">
      <c r="A587" s="7" t="s">
        <v>15</v>
      </c>
      <c r="B587" s="8" t="s">
        <v>26</v>
      </c>
      <c r="C587" s="8" t="s">
        <v>18</v>
      </c>
      <c r="D587" s="8" t="s">
        <v>16</v>
      </c>
      <c r="E587" s="11">
        <v>1389</v>
      </c>
      <c r="F587" s="13">
        <v>10</v>
      </c>
      <c r="G587" s="13">
        <v>20</v>
      </c>
      <c r="H587" s="13">
        <v>27780</v>
      </c>
      <c r="I587" s="13">
        <v>1389</v>
      </c>
      <c r="J587" s="13">
        <v>13890</v>
      </c>
      <c r="K587" s="5">
        <v>41548</v>
      </c>
    </row>
    <row r="588" spans="1:11" x14ac:dyDescent="0.3">
      <c r="A588" s="7" t="s">
        <v>15</v>
      </c>
      <c r="B588" s="8" t="s">
        <v>26</v>
      </c>
      <c r="C588" s="8" t="s">
        <v>20</v>
      </c>
      <c r="D588" s="8" t="s">
        <v>16</v>
      </c>
      <c r="E588" s="11">
        <v>1389</v>
      </c>
      <c r="F588" s="13">
        <v>250</v>
      </c>
      <c r="G588" s="13">
        <v>20</v>
      </c>
      <c r="H588" s="13">
        <v>27780</v>
      </c>
      <c r="I588" s="13">
        <v>1389</v>
      </c>
      <c r="J588" s="13">
        <v>13890</v>
      </c>
      <c r="K588" s="5">
        <v>41548</v>
      </c>
    </row>
    <row r="589" spans="1:11" x14ac:dyDescent="0.3">
      <c r="A589" s="7" t="s">
        <v>15</v>
      </c>
      <c r="B589" s="8" t="s">
        <v>24</v>
      </c>
      <c r="C589" s="8" t="s">
        <v>17</v>
      </c>
      <c r="D589" s="8" t="s">
        <v>16</v>
      </c>
      <c r="E589" s="11">
        <v>1421</v>
      </c>
      <c r="F589" s="13">
        <v>120</v>
      </c>
      <c r="G589" s="13">
        <v>20</v>
      </c>
      <c r="H589" s="13">
        <v>28420</v>
      </c>
      <c r="I589" s="13">
        <v>1989.4</v>
      </c>
      <c r="J589" s="13">
        <v>14210</v>
      </c>
      <c r="K589" s="5">
        <v>41609</v>
      </c>
    </row>
    <row r="590" spans="1:11" x14ac:dyDescent="0.3">
      <c r="A590" s="7" t="s">
        <v>30</v>
      </c>
      <c r="B590" s="8" t="s">
        <v>25</v>
      </c>
      <c r="C590" s="8" t="s">
        <v>18</v>
      </c>
      <c r="D590" s="8" t="s">
        <v>14</v>
      </c>
      <c r="E590" s="11">
        <v>1984</v>
      </c>
      <c r="F590" s="13">
        <v>10</v>
      </c>
      <c r="G590" s="13">
        <v>15</v>
      </c>
      <c r="H590" s="13">
        <v>29760</v>
      </c>
      <c r="I590" s="13">
        <v>3273.6</v>
      </c>
      <c r="J590" s="13">
        <v>19840</v>
      </c>
      <c r="K590" s="5">
        <v>41852</v>
      </c>
    </row>
    <row r="591" spans="1:11" x14ac:dyDescent="0.3">
      <c r="A591" s="7" t="s">
        <v>29</v>
      </c>
      <c r="B591" s="8" t="s">
        <v>26</v>
      </c>
      <c r="C591" s="8" t="s">
        <v>18</v>
      </c>
      <c r="D591" s="8" t="s">
        <v>16</v>
      </c>
      <c r="E591" s="11">
        <v>2431</v>
      </c>
      <c r="F591" s="13">
        <v>10</v>
      </c>
      <c r="G591" s="13">
        <v>12</v>
      </c>
      <c r="H591" s="13">
        <v>29172</v>
      </c>
      <c r="I591" s="13">
        <v>1458.6</v>
      </c>
      <c r="J591" s="13">
        <v>7293</v>
      </c>
      <c r="K591" s="5">
        <v>41974</v>
      </c>
    </row>
    <row r="592" spans="1:11" x14ac:dyDescent="0.3">
      <c r="A592" s="7" t="s">
        <v>29</v>
      </c>
      <c r="B592" s="8" t="s">
        <v>26</v>
      </c>
      <c r="C592" s="8" t="s">
        <v>17</v>
      </c>
      <c r="D592" s="8" t="s">
        <v>16</v>
      </c>
      <c r="E592" s="11">
        <v>2431</v>
      </c>
      <c r="F592" s="13">
        <v>120</v>
      </c>
      <c r="G592" s="13">
        <v>12</v>
      </c>
      <c r="H592" s="13">
        <v>29172</v>
      </c>
      <c r="I592" s="13">
        <v>1458.6</v>
      </c>
      <c r="J592" s="13">
        <v>7293</v>
      </c>
      <c r="K592" s="5">
        <v>41974</v>
      </c>
    </row>
    <row r="593" spans="1:11" x14ac:dyDescent="0.3">
      <c r="A593" s="7" t="s">
        <v>29</v>
      </c>
      <c r="B593" s="8" t="s">
        <v>25</v>
      </c>
      <c r="C593" s="8" t="s">
        <v>27</v>
      </c>
      <c r="D593" s="8" t="s">
        <v>14</v>
      </c>
      <c r="E593" s="11">
        <v>2661</v>
      </c>
      <c r="F593" s="13">
        <v>5</v>
      </c>
      <c r="G593" s="13">
        <v>12</v>
      </c>
      <c r="H593" s="13">
        <v>31932</v>
      </c>
      <c r="I593" s="13">
        <v>3831.84</v>
      </c>
      <c r="J593" s="13">
        <v>7983</v>
      </c>
      <c r="K593" s="5">
        <v>41760</v>
      </c>
    </row>
    <row r="594" spans="1:11" x14ac:dyDescent="0.3">
      <c r="A594" s="7" t="s">
        <v>30</v>
      </c>
      <c r="B594" s="8" t="s">
        <v>24</v>
      </c>
      <c r="C594" s="8" t="s">
        <v>18</v>
      </c>
      <c r="D594" s="8" t="s">
        <v>19</v>
      </c>
      <c r="E594" s="11">
        <v>1925</v>
      </c>
      <c r="F594" s="13">
        <v>10</v>
      </c>
      <c r="G594" s="13">
        <v>15</v>
      </c>
      <c r="H594" s="13">
        <v>28875</v>
      </c>
      <c r="I594" s="13">
        <v>577.5</v>
      </c>
      <c r="J594" s="13">
        <v>19250</v>
      </c>
      <c r="K594" s="5">
        <v>41609</v>
      </c>
    </row>
    <row r="595" spans="1:11" x14ac:dyDescent="0.3">
      <c r="A595" s="7" t="s">
        <v>30</v>
      </c>
      <c r="B595" s="8" t="s">
        <v>26</v>
      </c>
      <c r="C595" s="8" t="s">
        <v>27</v>
      </c>
      <c r="D595" s="8" t="s">
        <v>19</v>
      </c>
      <c r="E595" s="11">
        <v>1967</v>
      </c>
      <c r="F595" s="13">
        <v>5</v>
      </c>
      <c r="G595" s="13">
        <v>15</v>
      </c>
      <c r="H595" s="13">
        <v>29505</v>
      </c>
      <c r="I595" s="13">
        <v>1180.2</v>
      </c>
      <c r="J595" s="13">
        <v>19670</v>
      </c>
      <c r="K595" s="5">
        <v>41699</v>
      </c>
    </row>
    <row r="596" spans="1:11" x14ac:dyDescent="0.3">
      <c r="A596" s="7" t="s">
        <v>15</v>
      </c>
      <c r="B596" s="8" t="s">
        <v>26</v>
      </c>
      <c r="C596" s="8" t="s">
        <v>18</v>
      </c>
      <c r="D596" s="8" t="s">
        <v>19</v>
      </c>
      <c r="E596" s="11">
        <v>4251</v>
      </c>
      <c r="F596" s="13">
        <v>10</v>
      </c>
      <c r="G596" s="13">
        <v>7</v>
      </c>
      <c r="H596" s="13">
        <v>29757</v>
      </c>
      <c r="I596" s="13">
        <v>1190.28</v>
      </c>
      <c r="J596" s="13">
        <v>21255</v>
      </c>
      <c r="K596" s="5">
        <v>41640</v>
      </c>
    </row>
    <row r="597" spans="1:11" x14ac:dyDescent="0.3">
      <c r="A597" s="7" t="s">
        <v>30</v>
      </c>
      <c r="B597" s="8" t="s">
        <v>24</v>
      </c>
      <c r="C597" s="8" t="s">
        <v>21</v>
      </c>
      <c r="D597" s="8" t="s">
        <v>16</v>
      </c>
      <c r="E597" s="11">
        <v>2030</v>
      </c>
      <c r="F597" s="13">
        <v>3</v>
      </c>
      <c r="G597" s="13">
        <v>15</v>
      </c>
      <c r="H597" s="13">
        <v>30450</v>
      </c>
      <c r="I597" s="13">
        <v>1827</v>
      </c>
      <c r="J597" s="13">
        <v>20300</v>
      </c>
      <c r="K597" s="5">
        <v>41944</v>
      </c>
    </row>
    <row r="598" spans="1:11" x14ac:dyDescent="0.3">
      <c r="A598" s="7" t="s">
        <v>30</v>
      </c>
      <c r="B598" s="8" t="s">
        <v>25</v>
      </c>
      <c r="C598" s="8" t="s">
        <v>13</v>
      </c>
      <c r="D598" s="8" t="s">
        <v>14</v>
      </c>
      <c r="E598" s="11">
        <v>2157</v>
      </c>
      <c r="F598" s="13">
        <v>260</v>
      </c>
      <c r="G598" s="13">
        <v>15</v>
      </c>
      <c r="H598" s="13">
        <v>32355</v>
      </c>
      <c r="I598" s="13">
        <v>3559.05</v>
      </c>
      <c r="J598" s="13">
        <v>21570</v>
      </c>
      <c r="K598" s="5">
        <v>41974</v>
      </c>
    </row>
    <row r="599" spans="1:11" x14ac:dyDescent="0.3">
      <c r="A599" s="7" t="s">
        <v>30</v>
      </c>
      <c r="B599" s="8" t="s">
        <v>25</v>
      </c>
      <c r="C599" s="8" t="s">
        <v>27</v>
      </c>
      <c r="D599" s="8" t="s">
        <v>14</v>
      </c>
      <c r="E599" s="11">
        <v>2157</v>
      </c>
      <c r="F599" s="13">
        <v>5</v>
      </c>
      <c r="G599" s="13">
        <v>15</v>
      </c>
      <c r="H599" s="13">
        <v>32355</v>
      </c>
      <c r="I599" s="13">
        <v>3559.05</v>
      </c>
      <c r="J599" s="13">
        <v>21570</v>
      </c>
      <c r="K599" s="5">
        <v>41974</v>
      </c>
    </row>
    <row r="600" spans="1:11" x14ac:dyDescent="0.3">
      <c r="A600" s="7" t="s">
        <v>29</v>
      </c>
      <c r="B600" s="8" t="s">
        <v>26</v>
      </c>
      <c r="C600" s="8" t="s">
        <v>13</v>
      </c>
      <c r="D600" s="8" t="s">
        <v>14</v>
      </c>
      <c r="E600" s="11">
        <v>2761</v>
      </c>
      <c r="F600" s="13">
        <v>260</v>
      </c>
      <c r="G600" s="13">
        <v>12</v>
      </c>
      <c r="H600" s="13">
        <v>33132</v>
      </c>
      <c r="I600" s="13">
        <v>3975.84</v>
      </c>
      <c r="J600" s="13">
        <v>8283</v>
      </c>
      <c r="K600" s="5">
        <v>41518</v>
      </c>
    </row>
    <row r="601" spans="1:11" x14ac:dyDescent="0.3">
      <c r="A601" s="7" t="s">
        <v>30</v>
      </c>
      <c r="B601" s="8" t="s">
        <v>25</v>
      </c>
      <c r="C601" s="8" t="s">
        <v>27</v>
      </c>
      <c r="D601" s="8" t="s">
        <v>19</v>
      </c>
      <c r="E601" s="11">
        <v>2031</v>
      </c>
      <c r="F601" s="13">
        <v>5</v>
      </c>
      <c r="G601" s="13">
        <v>15</v>
      </c>
      <c r="H601" s="13">
        <v>30465</v>
      </c>
      <c r="I601" s="13">
        <v>1218.5999999999999</v>
      </c>
      <c r="J601" s="13">
        <v>20310</v>
      </c>
      <c r="K601" s="5">
        <v>41913</v>
      </c>
    </row>
    <row r="602" spans="1:11" x14ac:dyDescent="0.3">
      <c r="A602" s="7" t="s">
        <v>30</v>
      </c>
      <c r="B602" s="8" t="s">
        <v>25</v>
      </c>
      <c r="C602" s="8" t="s">
        <v>18</v>
      </c>
      <c r="D602" s="8" t="s">
        <v>19</v>
      </c>
      <c r="E602" s="11">
        <v>2031</v>
      </c>
      <c r="F602" s="13">
        <v>10</v>
      </c>
      <c r="G602" s="13">
        <v>15</v>
      </c>
      <c r="H602" s="13">
        <v>30465</v>
      </c>
      <c r="I602" s="13">
        <v>1218.5999999999999</v>
      </c>
      <c r="J602" s="13">
        <v>20310</v>
      </c>
      <c r="K602" s="5">
        <v>41913</v>
      </c>
    </row>
    <row r="603" spans="1:11" x14ac:dyDescent="0.3">
      <c r="A603" s="7" t="s">
        <v>30</v>
      </c>
      <c r="B603" s="8" t="s">
        <v>26</v>
      </c>
      <c r="C603" s="8" t="s">
        <v>21</v>
      </c>
      <c r="D603" s="8" t="s">
        <v>14</v>
      </c>
      <c r="E603" s="11">
        <v>2300</v>
      </c>
      <c r="F603" s="13">
        <v>3</v>
      </c>
      <c r="G603" s="13">
        <v>15</v>
      </c>
      <c r="H603" s="13">
        <v>34500</v>
      </c>
      <c r="I603" s="13">
        <v>4830</v>
      </c>
      <c r="J603" s="13">
        <v>23000</v>
      </c>
      <c r="K603" s="5">
        <v>41974</v>
      </c>
    </row>
    <row r="604" spans="1:11" x14ac:dyDescent="0.3">
      <c r="A604" s="7" t="s">
        <v>30</v>
      </c>
      <c r="B604" s="8" t="s">
        <v>26</v>
      </c>
      <c r="C604" s="8" t="s">
        <v>27</v>
      </c>
      <c r="D604" s="8" t="s">
        <v>14</v>
      </c>
      <c r="E604" s="11">
        <v>2300</v>
      </c>
      <c r="F604" s="13">
        <v>5</v>
      </c>
      <c r="G604" s="13">
        <v>15</v>
      </c>
      <c r="H604" s="13">
        <v>34500</v>
      </c>
      <c r="I604" s="13">
        <v>4830</v>
      </c>
      <c r="J604" s="13">
        <v>23000</v>
      </c>
      <c r="K604" s="5">
        <v>41974</v>
      </c>
    </row>
    <row r="605" spans="1:11" x14ac:dyDescent="0.3">
      <c r="A605" s="7" t="s">
        <v>15</v>
      </c>
      <c r="B605" s="8" t="s">
        <v>24</v>
      </c>
      <c r="C605" s="8" t="s">
        <v>21</v>
      </c>
      <c r="D605" s="8" t="s">
        <v>14</v>
      </c>
      <c r="E605" s="11">
        <v>1743</v>
      </c>
      <c r="F605" s="13">
        <v>3</v>
      </c>
      <c r="G605" s="13">
        <v>20</v>
      </c>
      <c r="H605" s="13">
        <v>34860</v>
      </c>
      <c r="I605" s="13">
        <v>4880.3999999999996</v>
      </c>
      <c r="J605" s="13">
        <v>17430</v>
      </c>
      <c r="K605" s="5">
        <v>41760</v>
      </c>
    </row>
    <row r="606" spans="1:11" x14ac:dyDescent="0.3">
      <c r="A606" s="7" t="s">
        <v>29</v>
      </c>
      <c r="B606" s="8" t="s">
        <v>24</v>
      </c>
      <c r="C606" s="8" t="s">
        <v>13</v>
      </c>
      <c r="D606" s="8" t="s">
        <v>14</v>
      </c>
      <c r="E606" s="11">
        <v>2914</v>
      </c>
      <c r="F606" s="13">
        <v>260</v>
      </c>
      <c r="G606" s="13">
        <v>12</v>
      </c>
      <c r="H606" s="13">
        <v>34968</v>
      </c>
      <c r="I606" s="13">
        <v>4895.5200000000004</v>
      </c>
      <c r="J606" s="13">
        <v>8742</v>
      </c>
      <c r="K606" s="5">
        <v>41913</v>
      </c>
    </row>
    <row r="607" spans="1:11" x14ac:dyDescent="0.3">
      <c r="A607" s="7" t="s">
        <v>29</v>
      </c>
      <c r="B607" s="8" t="s">
        <v>24</v>
      </c>
      <c r="C607" s="8" t="s">
        <v>18</v>
      </c>
      <c r="D607" s="8" t="s">
        <v>14</v>
      </c>
      <c r="E607" s="11">
        <v>2914</v>
      </c>
      <c r="F607" s="13">
        <v>10</v>
      </c>
      <c r="G607" s="13">
        <v>12</v>
      </c>
      <c r="H607" s="13">
        <v>34968</v>
      </c>
      <c r="I607" s="13">
        <v>4895.5200000000004</v>
      </c>
      <c r="J607" s="13">
        <v>8742</v>
      </c>
      <c r="K607" s="5">
        <v>41913</v>
      </c>
    </row>
    <row r="608" spans="1:11" x14ac:dyDescent="0.3">
      <c r="A608" s="7" t="s">
        <v>15</v>
      </c>
      <c r="B608" s="8" t="s">
        <v>25</v>
      </c>
      <c r="C608" s="8" t="s">
        <v>27</v>
      </c>
      <c r="D608" s="8" t="s">
        <v>14</v>
      </c>
      <c r="E608" s="11">
        <v>1715</v>
      </c>
      <c r="F608" s="13">
        <v>5</v>
      </c>
      <c r="G608" s="13">
        <v>20</v>
      </c>
      <c r="H608" s="13">
        <v>34300</v>
      </c>
      <c r="I608" s="13">
        <v>4116</v>
      </c>
      <c r="J608" s="13">
        <v>17150</v>
      </c>
      <c r="K608" s="5">
        <v>41548</v>
      </c>
    </row>
    <row r="609" spans="1:11" x14ac:dyDescent="0.3">
      <c r="A609" s="7" t="s">
        <v>15</v>
      </c>
      <c r="B609" s="8" t="s">
        <v>25</v>
      </c>
      <c r="C609" s="8" t="s">
        <v>18</v>
      </c>
      <c r="D609" s="8" t="s">
        <v>14</v>
      </c>
      <c r="E609" s="11">
        <v>1715</v>
      </c>
      <c r="F609" s="13">
        <v>10</v>
      </c>
      <c r="G609" s="13">
        <v>20</v>
      </c>
      <c r="H609" s="13">
        <v>34300</v>
      </c>
      <c r="I609" s="13">
        <v>4116</v>
      </c>
      <c r="J609" s="13">
        <v>17150</v>
      </c>
      <c r="K609" s="5">
        <v>41548</v>
      </c>
    </row>
    <row r="610" spans="1:11" x14ac:dyDescent="0.3">
      <c r="A610" s="7" t="s">
        <v>29</v>
      </c>
      <c r="B610" s="8" t="s">
        <v>26</v>
      </c>
      <c r="C610" s="8" t="s">
        <v>27</v>
      </c>
      <c r="D610" s="8" t="s">
        <v>22</v>
      </c>
      <c r="E610" s="11">
        <v>2518</v>
      </c>
      <c r="F610" s="13">
        <v>5</v>
      </c>
      <c r="G610" s="13">
        <v>12</v>
      </c>
      <c r="H610" s="13">
        <v>30216</v>
      </c>
      <c r="I610" s="13">
        <v>0</v>
      </c>
      <c r="J610" s="13">
        <v>7554</v>
      </c>
      <c r="K610" s="5">
        <v>41791</v>
      </c>
    </row>
    <row r="611" spans="1:11" x14ac:dyDescent="0.3">
      <c r="A611" s="7" t="s">
        <v>29</v>
      </c>
      <c r="B611" s="8" t="s">
        <v>26</v>
      </c>
      <c r="C611" s="8" t="s">
        <v>18</v>
      </c>
      <c r="D611" s="8" t="s">
        <v>22</v>
      </c>
      <c r="E611" s="11">
        <v>2518</v>
      </c>
      <c r="F611" s="13">
        <v>10</v>
      </c>
      <c r="G611" s="13">
        <v>12</v>
      </c>
      <c r="H611" s="13">
        <v>30216</v>
      </c>
      <c r="I611" s="13">
        <v>0</v>
      </c>
      <c r="J611" s="13">
        <v>7554</v>
      </c>
      <c r="K611" s="5">
        <v>41791</v>
      </c>
    </row>
    <row r="612" spans="1:11" x14ac:dyDescent="0.3">
      <c r="A612" s="7" t="s">
        <v>15</v>
      </c>
      <c r="B612" s="8" t="s">
        <v>24</v>
      </c>
      <c r="C612" s="8" t="s">
        <v>27</v>
      </c>
      <c r="D612" s="8" t="s">
        <v>19</v>
      </c>
      <c r="E612" s="11">
        <v>1566</v>
      </c>
      <c r="F612" s="13">
        <v>5</v>
      </c>
      <c r="G612" s="13">
        <v>20</v>
      </c>
      <c r="H612" s="13">
        <v>31320</v>
      </c>
      <c r="I612" s="13">
        <v>626.4</v>
      </c>
      <c r="J612" s="13">
        <v>15660</v>
      </c>
      <c r="K612" s="5">
        <v>41913</v>
      </c>
    </row>
    <row r="613" spans="1:11" x14ac:dyDescent="0.3">
      <c r="A613" s="7" t="s">
        <v>15</v>
      </c>
      <c r="B613" s="8" t="s">
        <v>24</v>
      </c>
      <c r="C613" s="8" t="s">
        <v>17</v>
      </c>
      <c r="D613" s="8" t="s">
        <v>19</v>
      </c>
      <c r="E613" s="11">
        <v>1566</v>
      </c>
      <c r="F613" s="13">
        <v>120</v>
      </c>
      <c r="G613" s="13">
        <v>20</v>
      </c>
      <c r="H613" s="13">
        <v>31320</v>
      </c>
      <c r="I613" s="13">
        <v>626.4</v>
      </c>
      <c r="J613" s="13">
        <v>15660</v>
      </c>
      <c r="K613" s="5">
        <v>41913</v>
      </c>
    </row>
    <row r="614" spans="1:11" x14ac:dyDescent="0.3">
      <c r="A614" s="7" t="s">
        <v>29</v>
      </c>
      <c r="B614" s="8" t="s">
        <v>24</v>
      </c>
      <c r="C614" s="8" t="s">
        <v>27</v>
      </c>
      <c r="D614" s="8" t="s">
        <v>16</v>
      </c>
      <c r="E614" s="11">
        <v>2723</v>
      </c>
      <c r="F614" s="13">
        <v>5</v>
      </c>
      <c r="G614" s="13">
        <v>12</v>
      </c>
      <c r="H614" s="13">
        <v>32676</v>
      </c>
      <c r="I614" s="13">
        <v>1960.56</v>
      </c>
      <c r="J614" s="13">
        <v>8169</v>
      </c>
      <c r="K614" s="5">
        <v>41944</v>
      </c>
    </row>
    <row r="615" spans="1:11" x14ac:dyDescent="0.3">
      <c r="A615" s="7" t="s">
        <v>15</v>
      </c>
      <c r="B615" s="8" t="s">
        <v>25</v>
      </c>
      <c r="C615" s="8" t="s">
        <v>13</v>
      </c>
      <c r="D615" s="8" t="s">
        <v>16</v>
      </c>
      <c r="E615" s="11">
        <v>1694</v>
      </c>
      <c r="F615" s="13">
        <v>260</v>
      </c>
      <c r="G615" s="13">
        <v>20</v>
      </c>
      <c r="H615" s="13">
        <v>33880</v>
      </c>
      <c r="I615" s="13">
        <v>3049.2</v>
      </c>
      <c r="J615" s="13">
        <v>16940</v>
      </c>
      <c r="K615" s="5">
        <v>41944</v>
      </c>
    </row>
    <row r="616" spans="1:11" x14ac:dyDescent="0.3">
      <c r="A616" s="7" t="s">
        <v>29</v>
      </c>
      <c r="B616" s="8" t="s">
        <v>25</v>
      </c>
      <c r="C616" s="8" t="s">
        <v>18</v>
      </c>
      <c r="D616" s="8" t="s">
        <v>16</v>
      </c>
      <c r="E616" s="11">
        <v>2763</v>
      </c>
      <c r="F616" s="13">
        <v>10</v>
      </c>
      <c r="G616" s="13">
        <v>12</v>
      </c>
      <c r="H616" s="13">
        <v>33156</v>
      </c>
      <c r="I616" s="13">
        <v>2320.92</v>
      </c>
      <c r="J616" s="13">
        <v>8289</v>
      </c>
      <c r="K616" s="5">
        <v>41579</v>
      </c>
    </row>
    <row r="617" spans="1:11" x14ac:dyDescent="0.3">
      <c r="A617" s="7" t="s">
        <v>30</v>
      </c>
      <c r="B617" s="8" t="s">
        <v>24</v>
      </c>
      <c r="C617" s="8" t="s">
        <v>18</v>
      </c>
      <c r="D617" s="8" t="s">
        <v>16</v>
      </c>
      <c r="E617" s="11">
        <v>2198</v>
      </c>
      <c r="F617" s="13">
        <v>10</v>
      </c>
      <c r="G617" s="13">
        <v>15</v>
      </c>
      <c r="H617" s="13">
        <v>32970</v>
      </c>
      <c r="I617" s="13">
        <v>1978.2</v>
      </c>
      <c r="J617" s="13">
        <v>21980</v>
      </c>
      <c r="K617" s="5">
        <v>41852</v>
      </c>
    </row>
    <row r="618" spans="1:11" x14ac:dyDescent="0.3">
      <c r="A618" s="7" t="s">
        <v>15</v>
      </c>
      <c r="B618" s="8" t="s">
        <v>24</v>
      </c>
      <c r="C618" s="8" t="s">
        <v>18</v>
      </c>
      <c r="D618" s="8" t="s">
        <v>19</v>
      </c>
      <c r="E618" s="11">
        <v>4492.5</v>
      </c>
      <c r="F618" s="13">
        <v>10</v>
      </c>
      <c r="G618" s="13">
        <v>7</v>
      </c>
      <c r="H618" s="13">
        <v>31447.5</v>
      </c>
      <c r="I618" s="13">
        <v>314.47500000000002</v>
      </c>
      <c r="J618" s="13">
        <v>22462.5</v>
      </c>
      <c r="K618" s="5">
        <v>41730</v>
      </c>
    </row>
    <row r="619" spans="1:11" x14ac:dyDescent="0.3">
      <c r="A619" s="7" t="s">
        <v>30</v>
      </c>
      <c r="B619" s="8" t="s">
        <v>26</v>
      </c>
      <c r="C619" s="8" t="s">
        <v>18</v>
      </c>
      <c r="D619" s="8" t="s">
        <v>14</v>
      </c>
      <c r="E619" s="11">
        <v>2470</v>
      </c>
      <c r="F619" s="13">
        <v>10</v>
      </c>
      <c r="G619" s="13">
        <v>15</v>
      </c>
      <c r="H619" s="13">
        <v>37050</v>
      </c>
      <c r="I619" s="13">
        <v>5187</v>
      </c>
      <c r="J619" s="13">
        <v>24700</v>
      </c>
      <c r="K619" s="5">
        <v>41518</v>
      </c>
    </row>
    <row r="620" spans="1:11" x14ac:dyDescent="0.3">
      <c r="A620" s="7" t="s">
        <v>30</v>
      </c>
      <c r="B620" s="8" t="s">
        <v>26</v>
      </c>
      <c r="C620" s="8" t="s">
        <v>18</v>
      </c>
      <c r="D620" s="8" t="s">
        <v>22</v>
      </c>
      <c r="E620" s="11">
        <v>2152</v>
      </c>
      <c r="F620" s="13">
        <v>10</v>
      </c>
      <c r="G620" s="13">
        <v>15</v>
      </c>
      <c r="H620" s="13">
        <v>32280</v>
      </c>
      <c r="I620" s="13">
        <v>0</v>
      </c>
      <c r="J620" s="13">
        <v>21520</v>
      </c>
      <c r="K620" s="5">
        <v>41609</v>
      </c>
    </row>
    <row r="621" spans="1:11" x14ac:dyDescent="0.3">
      <c r="A621" s="7" t="s">
        <v>15</v>
      </c>
      <c r="B621" s="8" t="s">
        <v>26</v>
      </c>
      <c r="C621" s="8" t="s">
        <v>21</v>
      </c>
      <c r="D621" s="8" t="s">
        <v>22</v>
      </c>
      <c r="E621" s="11">
        <v>1618.5</v>
      </c>
      <c r="F621" s="13">
        <v>3</v>
      </c>
      <c r="G621" s="13">
        <v>20</v>
      </c>
      <c r="H621" s="13">
        <v>32370</v>
      </c>
      <c r="I621" s="13">
        <v>0</v>
      </c>
      <c r="J621" s="13">
        <v>16185</v>
      </c>
      <c r="K621" s="5">
        <v>41640</v>
      </c>
    </row>
    <row r="622" spans="1:11" x14ac:dyDescent="0.3">
      <c r="A622" s="7" t="s">
        <v>30</v>
      </c>
      <c r="B622" s="8" t="s">
        <v>26</v>
      </c>
      <c r="C622" s="8" t="s">
        <v>18</v>
      </c>
      <c r="D622" s="8" t="s">
        <v>14</v>
      </c>
      <c r="E622" s="11">
        <v>2559</v>
      </c>
      <c r="F622" s="13">
        <v>10</v>
      </c>
      <c r="G622" s="13">
        <v>15</v>
      </c>
      <c r="H622" s="13">
        <v>38385</v>
      </c>
      <c r="I622" s="13">
        <v>5757.75</v>
      </c>
      <c r="J622" s="13">
        <v>25590</v>
      </c>
      <c r="K622" s="5">
        <v>41852</v>
      </c>
    </row>
    <row r="623" spans="1:11" x14ac:dyDescent="0.3">
      <c r="A623" s="7" t="s">
        <v>30</v>
      </c>
      <c r="B623" s="8" t="s">
        <v>25</v>
      </c>
      <c r="C623" s="8" t="s">
        <v>27</v>
      </c>
      <c r="D623" s="8" t="s">
        <v>19</v>
      </c>
      <c r="E623" s="11">
        <v>2214</v>
      </c>
      <c r="F623" s="13">
        <v>5</v>
      </c>
      <c r="G623" s="13">
        <v>15</v>
      </c>
      <c r="H623" s="13">
        <v>33210</v>
      </c>
      <c r="I623" s="13">
        <v>332.1</v>
      </c>
      <c r="J623" s="13">
        <v>22140</v>
      </c>
      <c r="K623" s="5">
        <v>41699</v>
      </c>
    </row>
    <row r="624" spans="1:11" x14ac:dyDescent="0.3">
      <c r="A624" s="7" t="s">
        <v>30</v>
      </c>
      <c r="B624" s="8" t="s">
        <v>24</v>
      </c>
      <c r="C624" s="8" t="s">
        <v>21</v>
      </c>
      <c r="D624" s="8" t="s">
        <v>14</v>
      </c>
      <c r="E624" s="11">
        <v>2567</v>
      </c>
      <c r="F624" s="13">
        <v>3</v>
      </c>
      <c r="G624" s="13">
        <v>15</v>
      </c>
      <c r="H624" s="13">
        <v>38505</v>
      </c>
      <c r="I624" s="13">
        <v>5005.6499999999996</v>
      </c>
      <c r="J624" s="13">
        <v>25670</v>
      </c>
      <c r="K624" s="5">
        <v>41791</v>
      </c>
    </row>
    <row r="625" spans="1:11" x14ac:dyDescent="0.3">
      <c r="A625" s="7" t="s">
        <v>30</v>
      </c>
      <c r="B625" s="8" t="s">
        <v>24</v>
      </c>
      <c r="C625" s="8" t="s">
        <v>20</v>
      </c>
      <c r="D625" s="8" t="s">
        <v>14</v>
      </c>
      <c r="E625" s="11">
        <v>2567</v>
      </c>
      <c r="F625" s="13">
        <v>250</v>
      </c>
      <c r="G625" s="13">
        <v>15</v>
      </c>
      <c r="H625" s="13">
        <v>38505</v>
      </c>
      <c r="I625" s="13">
        <v>5005.6499999999996</v>
      </c>
      <c r="J625" s="13">
        <v>25670</v>
      </c>
      <c r="K625" s="5">
        <v>41791</v>
      </c>
    </row>
    <row r="626" spans="1:11" x14ac:dyDescent="0.3">
      <c r="A626" s="7" t="s">
        <v>30</v>
      </c>
      <c r="B626" s="8" t="s">
        <v>24</v>
      </c>
      <c r="C626" s="8" t="s">
        <v>13</v>
      </c>
      <c r="D626" s="8" t="s">
        <v>14</v>
      </c>
      <c r="E626" s="11">
        <v>2548</v>
      </c>
      <c r="F626" s="13">
        <v>260</v>
      </c>
      <c r="G626" s="13">
        <v>15</v>
      </c>
      <c r="H626" s="13">
        <v>38220</v>
      </c>
      <c r="I626" s="13">
        <v>4586.3999999999996</v>
      </c>
      <c r="J626" s="13">
        <v>25480</v>
      </c>
      <c r="K626" s="5">
        <v>41579</v>
      </c>
    </row>
    <row r="627" spans="1:11" x14ac:dyDescent="0.3">
      <c r="A627" s="7" t="s">
        <v>15</v>
      </c>
      <c r="B627" s="8" t="s">
        <v>25</v>
      </c>
      <c r="C627" s="8" t="s">
        <v>21</v>
      </c>
      <c r="D627" s="8" t="s">
        <v>16</v>
      </c>
      <c r="E627" s="11">
        <v>1834</v>
      </c>
      <c r="F627" s="13">
        <v>3</v>
      </c>
      <c r="G627" s="13">
        <v>20</v>
      </c>
      <c r="H627" s="13">
        <v>36680</v>
      </c>
      <c r="I627" s="13">
        <v>2567.6</v>
      </c>
      <c r="J627" s="13">
        <v>18340</v>
      </c>
      <c r="K627" s="5">
        <v>41518</v>
      </c>
    </row>
    <row r="628" spans="1:11" x14ac:dyDescent="0.3">
      <c r="A628" s="7" t="s">
        <v>15</v>
      </c>
      <c r="B628" s="8" t="s">
        <v>26</v>
      </c>
      <c r="C628" s="8" t="s">
        <v>18</v>
      </c>
      <c r="D628" s="8" t="s">
        <v>16</v>
      </c>
      <c r="E628" s="11">
        <v>1802</v>
      </c>
      <c r="F628" s="13">
        <v>10</v>
      </c>
      <c r="G628" s="13">
        <v>20</v>
      </c>
      <c r="H628" s="13">
        <v>36040</v>
      </c>
      <c r="I628" s="13">
        <v>1802</v>
      </c>
      <c r="J628" s="13">
        <v>18020</v>
      </c>
      <c r="K628" s="5">
        <v>41609</v>
      </c>
    </row>
    <row r="629" spans="1:11" x14ac:dyDescent="0.3">
      <c r="A629" s="7" t="s">
        <v>30</v>
      </c>
      <c r="B629" s="8" t="s">
        <v>26</v>
      </c>
      <c r="C629" s="8" t="s">
        <v>18</v>
      </c>
      <c r="D629" s="8" t="s">
        <v>19</v>
      </c>
      <c r="E629" s="11">
        <v>2363</v>
      </c>
      <c r="F629" s="13">
        <v>10</v>
      </c>
      <c r="G629" s="13">
        <v>15</v>
      </c>
      <c r="H629" s="13">
        <v>35445</v>
      </c>
      <c r="I629" s="13">
        <v>708.9</v>
      </c>
      <c r="J629" s="13">
        <v>23630</v>
      </c>
      <c r="K629" s="5">
        <v>41671</v>
      </c>
    </row>
    <row r="630" spans="1:11" x14ac:dyDescent="0.3">
      <c r="A630" s="7" t="s">
        <v>30</v>
      </c>
      <c r="B630" s="8" t="s">
        <v>26</v>
      </c>
      <c r="C630" s="8" t="s">
        <v>21</v>
      </c>
      <c r="D630" s="8" t="s">
        <v>14</v>
      </c>
      <c r="E630" s="11">
        <v>2689</v>
      </c>
      <c r="F630" s="13">
        <v>3</v>
      </c>
      <c r="G630" s="13">
        <v>15</v>
      </c>
      <c r="H630" s="13">
        <v>40335</v>
      </c>
      <c r="I630" s="13">
        <v>4840.2</v>
      </c>
      <c r="J630" s="13">
        <v>26890</v>
      </c>
      <c r="K630" s="5">
        <v>41944</v>
      </c>
    </row>
    <row r="631" spans="1:11" x14ac:dyDescent="0.3">
      <c r="A631" s="7" t="s">
        <v>30</v>
      </c>
      <c r="B631" s="8" t="s">
        <v>25</v>
      </c>
      <c r="C631" s="8" t="s">
        <v>17</v>
      </c>
      <c r="D631" s="8" t="s">
        <v>16</v>
      </c>
      <c r="E631" s="11">
        <v>2628</v>
      </c>
      <c r="F631" s="13">
        <v>120</v>
      </c>
      <c r="G631" s="13">
        <v>15</v>
      </c>
      <c r="H631" s="13">
        <v>39420</v>
      </c>
      <c r="I631" s="13">
        <v>3547.8</v>
      </c>
      <c r="J631" s="13">
        <v>26280</v>
      </c>
      <c r="K631" s="5">
        <v>41730</v>
      </c>
    </row>
    <row r="632" spans="1:11" x14ac:dyDescent="0.3">
      <c r="A632" s="7" t="s">
        <v>29</v>
      </c>
      <c r="B632" s="8" t="s">
        <v>26</v>
      </c>
      <c r="C632" s="8" t="s">
        <v>20</v>
      </c>
      <c r="D632" s="8" t="s">
        <v>16</v>
      </c>
      <c r="E632" s="11">
        <v>3244.5</v>
      </c>
      <c r="F632" s="13">
        <v>250</v>
      </c>
      <c r="G632" s="13">
        <v>12</v>
      </c>
      <c r="H632" s="13">
        <v>38934</v>
      </c>
      <c r="I632" s="13">
        <v>2725.38</v>
      </c>
      <c r="J632" s="13">
        <v>9733.5</v>
      </c>
      <c r="K632" s="5">
        <v>41640</v>
      </c>
    </row>
    <row r="633" spans="1:11" x14ac:dyDescent="0.3">
      <c r="A633" s="7" t="s">
        <v>15</v>
      </c>
      <c r="B633" s="8" t="s">
        <v>26</v>
      </c>
      <c r="C633" s="8" t="s">
        <v>18</v>
      </c>
      <c r="D633" s="8" t="s">
        <v>22</v>
      </c>
      <c r="E633" s="11">
        <v>1817</v>
      </c>
      <c r="F633" s="13">
        <v>10</v>
      </c>
      <c r="G633" s="13">
        <v>20</v>
      </c>
      <c r="H633" s="13">
        <v>36340</v>
      </c>
      <c r="I633" s="13">
        <v>0</v>
      </c>
      <c r="J633" s="13">
        <v>18170</v>
      </c>
      <c r="K633" s="5">
        <v>41974</v>
      </c>
    </row>
    <row r="634" spans="1:11" x14ac:dyDescent="0.3">
      <c r="A634" s="7" t="s">
        <v>15</v>
      </c>
      <c r="B634" s="8" t="s">
        <v>26</v>
      </c>
      <c r="C634" s="8" t="s">
        <v>20</v>
      </c>
      <c r="D634" s="8" t="s">
        <v>22</v>
      </c>
      <c r="E634" s="11">
        <v>1817</v>
      </c>
      <c r="F634" s="13">
        <v>250</v>
      </c>
      <c r="G634" s="13">
        <v>20</v>
      </c>
      <c r="H634" s="13">
        <v>36340</v>
      </c>
      <c r="I634" s="13">
        <v>0</v>
      </c>
      <c r="J634" s="13">
        <v>18170</v>
      </c>
      <c r="K634" s="5">
        <v>41974</v>
      </c>
    </row>
    <row r="635" spans="1:11" x14ac:dyDescent="0.3">
      <c r="A635" s="7" t="s">
        <v>15</v>
      </c>
      <c r="B635" s="8" t="s">
        <v>25</v>
      </c>
      <c r="C635" s="8" t="s">
        <v>13</v>
      </c>
      <c r="D635" s="8" t="s">
        <v>14</v>
      </c>
      <c r="E635" s="11">
        <v>2039</v>
      </c>
      <c r="F635" s="13">
        <v>260</v>
      </c>
      <c r="G635" s="13">
        <v>20</v>
      </c>
      <c r="H635" s="13">
        <v>40780</v>
      </c>
      <c r="I635" s="13">
        <v>4078</v>
      </c>
      <c r="J635" s="13">
        <v>20390</v>
      </c>
      <c r="K635" s="5">
        <v>41760</v>
      </c>
    </row>
    <row r="636" spans="1:11" x14ac:dyDescent="0.3">
      <c r="A636" s="7" t="s">
        <v>30</v>
      </c>
      <c r="B636" s="8" t="s">
        <v>25</v>
      </c>
      <c r="C636" s="8" t="s">
        <v>21</v>
      </c>
      <c r="D636" s="8" t="s">
        <v>22</v>
      </c>
      <c r="E636" s="11">
        <v>2470</v>
      </c>
      <c r="F636" s="13">
        <v>3</v>
      </c>
      <c r="G636" s="13">
        <v>15</v>
      </c>
      <c r="H636" s="13">
        <v>37050</v>
      </c>
      <c r="I636" s="13">
        <v>0</v>
      </c>
      <c r="J636" s="13">
        <v>24700</v>
      </c>
      <c r="K636" s="5">
        <v>41791</v>
      </c>
    </row>
    <row r="637" spans="1:11" x14ac:dyDescent="0.3">
      <c r="A637" s="7" t="s">
        <v>30</v>
      </c>
      <c r="B637" s="8" t="s">
        <v>25</v>
      </c>
      <c r="C637" s="8" t="s">
        <v>27</v>
      </c>
      <c r="D637" s="8" t="s">
        <v>22</v>
      </c>
      <c r="E637" s="11">
        <v>2470</v>
      </c>
      <c r="F637" s="13">
        <v>5</v>
      </c>
      <c r="G637" s="13">
        <v>15</v>
      </c>
      <c r="H637" s="13">
        <v>37050</v>
      </c>
      <c r="I637" s="13">
        <v>0</v>
      </c>
      <c r="J637" s="13">
        <v>24700</v>
      </c>
      <c r="K637" s="5">
        <v>41791</v>
      </c>
    </row>
    <row r="638" spans="1:11" x14ac:dyDescent="0.3">
      <c r="A638" s="7" t="s">
        <v>30</v>
      </c>
      <c r="B638" s="8" t="s">
        <v>25</v>
      </c>
      <c r="C638" s="8" t="s">
        <v>18</v>
      </c>
      <c r="D638" s="8" t="s">
        <v>22</v>
      </c>
      <c r="E638" s="11">
        <v>2472</v>
      </c>
      <c r="F638" s="13">
        <v>10</v>
      </c>
      <c r="G638" s="13">
        <v>15</v>
      </c>
      <c r="H638" s="13">
        <v>37080</v>
      </c>
      <c r="I638" s="13">
        <v>0</v>
      </c>
      <c r="J638" s="13">
        <v>24720</v>
      </c>
      <c r="K638" s="5">
        <v>41883</v>
      </c>
    </row>
    <row r="639" spans="1:11" x14ac:dyDescent="0.3">
      <c r="A639" s="7" t="s">
        <v>29</v>
      </c>
      <c r="B639" s="8" t="s">
        <v>26</v>
      </c>
      <c r="C639" s="8" t="s">
        <v>13</v>
      </c>
      <c r="D639" s="8" t="s">
        <v>14</v>
      </c>
      <c r="E639" s="11">
        <v>3520.5</v>
      </c>
      <c r="F639" s="13">
        <v>260</v>
      </c>
      <c r="G639" s="13">
        <v>12</v>
      </c>
      <c r="H639" s="13">
        <v>42246</v>
      </c>
      <c r="I639" s="13">
        <v>4224.6000000000004</v>
      </c>
      <c r="J639" s="13">
        <v>10561.5</v>
      </c>
      <c r="K639" s="5">
        <v>41730</v>
      </c>
    </row>
    <row r="640" spans="1:11" x14ac:dyDescent="0.3">
      <c r="A640" s="7" t="s">
        <v>28</v>
      </c>
      <c r="B640" s="8" t="s">
        <v>25</v>
      </c>
      <c r="C640" s="8" t="s">
        <v>20</v>
      </c>
      <c r="D640" s="8" t="s">
        <v>14</v>
      </c>
      <c r="E640" s="11">
        <v>341</v>
      </c>
      <c r="F640" s="13">
        <v>250</v>
      </c>
      <c r="G640" s="13">
        <v>125</v>
      </c>
      <c r="H640" s="13">
        <v>42625</v>
      </c>
      <c r="I640" s="13">
        <v>4262.5</v>
      </c>
      <c r="J640" s="13">
        <v>40920</v>
      </c>
      <c r="K640" s="5">
        <v>41760</v>
      </c>
    </row>
    <row r="641" spans="1:11" x14ac:dyDescent="0.3">
      <c r="A641" s="7" t="s">
        <v>15</v>
      </c>
      <c r="B641" s="8" t="s">
        <v>25</v>
      </c>
      <c r="C641" s="8" t="s">
        <v>27</v>
      </c>
      <c r="D641" s="8" t="s">
        <v>14</v>
      </c>
      <c r="E641" s="11">
        <v>2255</v>
      </c>
      <c r="F641" s="13">
        <v>5</v>
      </c>
      <c r="G641" s="13">
        <v>20</v>
      </c>
      <c r="H641" s="13">
        <v>45100</v>
      </c>
      <c r="I641" s="13">
        <v>5863</v>
      </c>
      <c r="J641" s="13">
        <v>22550</v>
      </c>
      <c r="K641" s="5">
        <v>41821</v>
      </c>
    </row>
    <row r="642" spans="1:11" x14ac:dyDescent="0.3">
      <c r="A642" s="7" t="s">
        <v>30</v>
      </c>
      <c r="B642" s="8" t="s">
        <v>25</v>
      </c>
      <c r="C642" s="8" t="s">
        <v>21</v>
      </c>
      <c r="D642" s="8" t="s">
        <v>16</v>
      </c>
      <c r="E642" s="11">
        <v>2791</v>
      </c>
      <c r="F642" s="13">
        <v>3</v>
      </c>
      <c r="G642" s="13">
        <v>15</v>
      </c>
      <c r="H642" s="13">
        <v>41865</v>
      </c>
      <c r="I642" s="13">
        <v>2093.25</v>
      </c>
      <c r="J642" s="13">
        <v>27910</v>
      </c>
      <c r="K642" s="5">
        <v>41944</v>
      </c>
    </row>
    <row r="643" spans="1:11" x14ac:dyDescent="0.3">
      <c r="A643" s="7" t="s">
        <v>15</v>
      </c>
      <c r="B643" s="8" t="s">
        <v>26</v>
      </c>
      <c r="C643" s="8" t="s">
        <v>18</v>
      </c>
      <c r="D643" s="8" t="s">
        <v>19</v>
      </c>
      <c r="E643" s="11">
        <v>2074</v>
      </c>
      <c r="F643" s="13">
        <v>10</v>
      </c>
      <c r="G643" s="13">
        <v>20</v>
      </c>
      <c r="H643" s="13">
        <v>41480</v>
      </c>
      <c r="I643" s="13">
        <v>1659.2</v>
      </c>
      <c r="J643" s="13">
        <v>20740</v>
      </c>
      <c r="K643" s="5">
        <v>41883</v>
      </c>
    </row>
    <row r="644" spans="1:11" x14ac:dyDescent="0.3">
      <c r="A644" s="7" t="s">
        <v>30</v>
      </c>
      <c r="B644" s="8" t="s">
        <v>26</v>
      </c>
      <c r="C644" s="8" t="s">
        <v>21</v>
      </c>
      <c r="D644" s="8" t="s">
        <v>16</v>
      </c>
      <c r="E644" s="11">
        <v>2844</v>
      </c>
      <c r="F644" s="13">
        <v>3</v>
      </c>
      <c r="G644" s="13">
        <v>15</v>
      </c>
      <c r="H644" s="13">
        <v>42660</v>
      </c>
      <c r="I644" s="13">
        <v>2559.6</v>
      </c>
      <c r="J644" s="13">
        <v>28440</v>
      </c>
      <c r="K644" s="5">
        <v>41791</v>
      </c>
    </row>
    <row r="645" spans="1:11" x14ac:dyDescent="0.3">
      <c r="A645" s="7" t="s">
        <v>30</v>
      </c>
      <c r="B645" s="8" t="s">
        <v>26</v>
      </c>
      <c r="C645" s="8" t="s">
        <v>20</v>
      </c>
      <c r="D645" s="8" t="s">
        <v>16</v>
      </c>
      <c r="E645" s="11">
        <v>2844</v>
      </c>
      <c r="F645" s="13">
        <v>250</v>
      </c>
      <c r="G645" s="13">
        <v>15</v>
      </c>
      <c r="H645" s="13">
        <v>42660</v>
      </c>
      <c r="I645" s="13">
        <v>2559.6</v>
      </c>
      <c r="J645" s="13">
        <v>28440</v>
      </c>
      <c r="K645" s="5">
        <v>41791</v>
      </c>
    </row>
    <row r="646" spans="1:11" x14ac:dyDescent="0.3">
      <c r="A646" s="7" t="s">
        <v>30</v>
      </c>
      <c r="B646" s="8" t="s">
        <v>25</v>
      </c>
      <c r="C646" s="8" t="s">
        <v>17</v>
      </c>
      <c r="D646" s="8" t="s">
        <v>16</v>
      </c>
      <c r="E646" s="11">
        <v>2861</v>
      </c>
      <c r="F646" s="13">
        <v>120</v>
      </c>
      <c r="G646" s="13">
        <v>15</v>
      </c>
      <c r="H646" s="13">
        <v>42915</v>
      </c>
      <c r="I646" s="13">
        <v>2145.75</v>
      </c>
      <c r="J646" s="13">
        <v>28610</v>
      </c>
      <c r="K646" s="5">
        <v>41640</v>
      </c>
    </row>
    <row r="647" spans="1:11" x14ac:dyDescent="0.3">
      <c r="A647" s="7" t="s">
        <v>28</v>
      </c>
      <c r="B647" s="8" t="s">
        <v>24</v>
      </c>
      <c r="C647" s="8" t="s">
        <v>21</v>
      </c>
      <c r="D647" s="8" t="s">
        <v>19</v>
      </c>
      <c r="E647" s="11">
        <v>330</v>
      </c>
      <c r="F647" s="13">
        <v>3</v>
      </c>
      <c r="G647" s="13">
        <v>125</v>
      </c>
      <c r="H647" s="13">
        <v>41250</v>
      </c>
      <c r="I647" s="13">
        <v>412.5</v>
      </c>
      <c r="J647" s="13">
        <v>39600</v>
      </c>
      <c r="K647" s="5">
        <v>41518</v>
      </c>
    </row>
    <row r="648" spans="1:11" x14ac:dyDescent="0.3">
      <c r="A648" s="7" t="s">
        <v>30</v>
      </c>
      <c r="B648" s="8" t="s">
        <v>24</v>
      </c>
      <c r="C648" s="8" t="s">
        <v>18</v>
      </c>
      <c r="D648" s="8" t="s">
        <v>16</v>
      </c>
      <c r="E648" s="11">
        <v>2931</v>
      </c>
      <c r="F648" s="13">
        <v>10</v>
      </c>
      <c r="G648" s="13">
        <v>15</v>
      </c>
      <c r="H648" s="13">
        <v>43965</v>
      </c>
      <c r="I648" s="13">
        <v>3077.55</v>
      </c>
      <c r="J648" s="13">
        <v>29310</v>
      </c>
      <c r="K648" s="5">
        <v>41518</v>
      </c>
    </row>
    <row r="649" spans="1:11" x14ac:dyDescent="0.3">
      <c r="A649" s="7" t="s">
        <v>15</v>
      </c>
      <c r="B649" s="8" t="s">
        <v>26</v>
      </c>
      <c r="C649" s="8" t="s">
        <v>18</v>
      </c>
      <c r="D649" s="8" t="s">
        <v>14</v>
      </c>
      <c r="E649" s="11">
        <v>2428</v>
      </c>
      <c r="F649" s="13">
        <v>10</v>
      </c>
      <c r="G649" s="13">
        <v>20</v>
      </c>
      <c r="H649" s="13">
        <v>48560</v>
      </c>
      <c r="I649" s="13">
        <v>6798.4</v>
      </c>
      <c r="J649" s="13">
        <v>24280</v>
      </c>
      <c r="K649" s="5">
        <v>41699</v>
      </c>
    </row>
    <row r="650" spans="1:11" x14ac:dyDescent="0.3">
      <c r="A650" s="7" t="s">
        <v>15</v>
      </c>
      <c r="B650" s="8" t="s">
        <v>26</v>
      </c>
      <c r="C650" s="8" t="s">
        <v>18</v>
      </c>
      <c r="D650" s="8" t="s">
        <v>14</v>
      </c>
      <c r="E650" s="11">
        <v>2394</v>
      </c>
      <c r="F650" s="13">
        <v>10</v>
      </c>
      <c r="G650" s="13">
        <v>20</v>
      </c>
      <c r="H650" s="13">
        <v>47880</v>
      </c>
      <c r="I650" s="13">
        <v>5266.8</v>
      </c>
      <c r="J650" s="13">
        <v>23940</v>
      </c>
      <c r="K650" s="5">
        <v>41852</v>
      </c>
    </row>
    <row r="651" spans="1:11" x14ac:dyDescent="0.3">
      <c r="A651" s="7" t="s">
        <v>30</v>
      </c>
      <c r="B651" s="8" t="s">
        <v>24</v>
      </c>
      <c r="C651" s="8" t="s">
        <v>13</v>
      </c>
      <c r="D651" s="8" t="s">
        <v>14</v>
      </c>
      <c r="E651" s="11">
        <v>3199.5</v>
      </c>
      <c r="F651" s="13">
        <v>260</v>
      </c>
      <c r="G651" s="13">
        <v>15</v>
      </c>
      <c r="H651" s="13">
        <v>47992.5</v>
      </c>
      <c r="I651" s="13">
        <v>5279.1749999999993</v>
      </c>
      <c r="J651" s="13">
        <v>31995</v>
      </c>
      <c r="K651" s="5">
        <v>41821</v>
      </c>
    </row>
    <row r="652" spans="1:11" x14ac:dyDescent="0.3">
      <c r="A652" s="7" t="s">
        <v>29</v>
      </c>
      <c r="B652" s="8" t="s">
        <v>26</v>
      </c>
      <c r="C652" s="8" t="s">
        <v>18</v>
      </c>
      <c r="D652" s="8" t="s">
        <v>14</v>
      </c>
      <c r="E652" s="11">
        <v>4026</v>
      </c>
      <c r="F652" s="13">
        <v>10</v>
      </c>
      <c r="G652" s="13">
        <v>12</v>
      </c>
      <c r="H652" s="13">
        <v>48312</v>
      </c>
      <c r="I652" s="13">
        <v>5314.32</v>
      </c>
      <c r="J652" s="13">
        <v>12078</v>
      </c>
      <c r="K652" s="5">
        <v>41821</v>
      </c>
    </row>
    <row r="653" spans="1:11" x14ac:dyDescent="0.3">
      <c r="A653" s="7" t="s">
        <v>28</v>
      </c>
      <c r="B653" s="8" t="s">
        <v>26</v>
      </c>
      <c r="C653" s="8" t="s">
        <v>27</v>
      </c>
      <c r="D653" s="8" t="s">
        <v>22</v>
      </c>
      <c r="E653" s="11">
        <v>345</v>
      </c>
      <c r="F653" s="13">
        <v>5</v>
      </c>
      <c r="G653" s="13">
        <v>125</v>
      </c>
      <c r="H653" s="13">
        <v>43125</v>
      </c>
      <c r="I653" s="13">
        <v>0</v>
      </c>
      <c r="J653" s="13">
        <v>41400</v>
      </c>
      <c r="K653" s="5">
        <v>41548</v>
      </c>
    </row>
    <row r="654" spans="1:11" x14ac:dyDescent="0.3">
      <c r="A654" s="7" t="s">
        <v>28</v>
      </c>
      <c r="B654" s="8" t="s">
        <v>26</v>
      </c>
      <c r="C654" s="8" t="s">
        <v>17</v>
      </c>
      <c r="D654" s="8" t="s">
        <v>22</v>
      </c>
      <c r="E654" s="11">
        <v>345</v>
      </c>
      <c r="F654" s="13">
        <v>120</v>
      </c>
      <c r="G654" s="13">
        <v>125</v>
      </c>
      <c r="H654" s="13">
        <v>43125</v>
      </c>
      <c r="I654" s="13">
        <v>0</v>
      </c>
      <c r="J654" s="13">
        <v>41400</v>
      </c>
      <c r="K654" s="5">
        <v>41548</v>
      </c>
    </row>
    <row r="655" spans="1:11" x14ac:dyDescent="0.3">
      <c r="A655" s="7" t="s">
        <v>15</v>
      </c>
      <c r="B655" s="8" t="s">
        <v>25</v>
      </c>
      <c r="C655" s="8" t="s">
        <v>21</v>
      </c>
      <c r="D655" s="8" t="s">
        <v>14</v>
      </c>
      <c r="E655" s="11">
        <v>2579</v>
      </c>
      <c r="F655" s="13">
        <v>3</v>
      </c>
      <c r="G655" s="13">
        <v>20</v>
      </c>
      <c r="H655" s="13">
        <v>51580</v>
      </c>
      <c r="I655" s="13">
        <v>7221.2</v>
      </c>
      <c r="J655" s="13">
        <v>25790</v>
      </c>
      <c r="K655" s="5">
        <v>41730</v>
      </c>
    </row>
    <row r="656" spans="1:11" x14ac:dyDescent="0.3">
      <c r="A656" s="7" t="s">
        <v>15</v>
      </c>
      <c r="B656" s="8" t="s">
        <v>24</v>
      </c>
      <c r="C656" s="8" t="s">
        <v>18</v>
      </c>
      <c r="D656" s="8" t="s">
        <v>14</v>
      </c>
      <c r="E656" s="11">
        <v>2641</v>
      </c>
      <c r="F656" s="13">
        <v>10</v>
      </c>
      <c r="G656" s="13">
        <v>20</v>
      </c>
      <c r="H656" s="13">
        <v>52820</v>
      </c>
      <c r="I656" s="13">
        <v>6866.6</v>
      </c>
      <c r="J656" s="13">
        <v>26410</v>
      </c>
      <c r="K656" s="5">
        <v>41671</v>
      </c>
    </row>
    <row r="657" spans="1:11" x14ac:dyDescent="0.3">
      <c r="A657" s="7" t="s">
        <v>15</v>
      </c>
      <c r="B657" s="8" t="s">
        <v>25</v>
      </c>
      <c r="C657" s="8" t="s">
        <v>13</v>
      </c>
      <c r="D657" s="8" t="s">
        <v>14</v>
      </c>
      <c r="E657" s="11">
        <v>2629</v>
      </c>
      <c r="F657" s="13">
        <v>260</v>
      </c>
      <c r="G657" s="13">
        <v>20</v>
      </c>
      <c r="H657" s="13">
        <v>52580</v>
      </c>
      <c r="I657" s="13">
        <v>5783.8</v>
      </c>
      <c r="J657" s="13">
        <v>26290</v>
      </c>
      <c r="K657" s="5">
        <v>41640</v>
      </c>
    </row>
    <row r="658" spans="1:11" x14ac:dyDescent="0.3">
      <c r="A658" s="7" t="s">
        <v>30</v>
      </c>
      <c r="B658" s="8" t="s">
        <v>24</v>
      </c>
      <c r="C658" s="8" t="s">
        <v>18</v>
      </c>
      <c r="D658" s="8" t="s">
        <v>16</v>
      </c>
      <c r="E658" s="11">
        <v>3675</v>
      </c>
      <c r="F658" s="13">
        <v>10</v>
      </c>
      <c r="G658" s="13">
        <v>15</v>
      </c>
      <c r="H658" s="13">
        <v>55125</v>
      </c>
      <c r="I658" s="13">
        <v>4961.25</v>
      </c>
      <c r="J658" s="13">
        <v>36750</v>
      </c>
      <c r="K658" s="5">
        <v>41730</v>
      </c>
    </row>
    <row r="659" spans="1:11" x14ac:dyDescent="0.3">
      <c r="A659" s="7" t="s">
        <v>15</v>
      </c>
      <c r="B659" s="8" t="s">
        <v>24</v>
      </c>
      <c r="C659" s="8" t="s">
        <v>18</v>
      </c>
      <c r="D659" s="8" t="s">
        <v>16</v>
      </c>
      <c r="E659" s="11">
        <v>2663</v>
      </c>
      <c r="F659" s="13">
        <v>10</v>
      </c>
      <c r="G659" s="13">
        <v>20</v>
      </c>
      <c r="H659" s="13">
        <v>53260</v>
      </c>
      <c r="I659" s="13">
        <v>2663</v>
      </c>
      <c r="J659" s="13">
        <v>26630</v>
      </c>
      <c r="K659" s="5">
        <v>41974</v>
      </c>
    </row>
    <row r="660" spans="1:11" x14ac:dyDescent="0.3">
      <c r="A660" s="7" t="s">
        <v>15</v>
      </c>
      <c r="B660" s="8" t="s">
        <v>24</v>
      </c>
      <c r="C660" s="8" t="s">
        <v>20</v>
      </c>
      <c r="D660" s="8" t="s">
        <v>16</v>
      </c>
      <c r="E660" s="11">
        <v>2663</v>
      </c>
      <c r="F660" s="13">
        <v>250</v>
      </c>
      <c r="G660" s="13">
        <v>20</v>
      </c>
      <c r="H660" s="13">
        <v>53260</v>
      </c>
      <c r="I660" s="13">
        <v>2663</v>
      </c>
      <c r="J660" s="13">
        <v>26630</v>
      </c>
      <c r="K660" s="5">
        <v>41974</v>
      </c>
    </row>
    <row r="661" spans="1:11" x14ac:dyDescent="0.3">
      <c r="A661" s="7" t="s">
        <v>15</v>
      </c>
      <c r="B661" s="8" t="s">
        <v>26</v>
      </c>
      <c r="C661" s="8" t="s">
        <v>17</v>
      </c>
      <c r="D661" s="8" t="s">
        <v>19</v>
      </c>
      <c r="E661" s="11">
        <v>2646</v>
      </c>
      <c r="F661" s="13">
        <v>120</v>
      </c>
      <c r="G661" s="13">
        <v>20</v>
      </c>
      <c r="H661" s="13">
        <v>52920</v>
      </c>
      <c r="I661" s="13">
        <v>2116.8000000000002</v>
      </c>
      <c r="J661" s="13">
        <v>26460</v>
      </c>
      <c r="K661" s="5">
        <v>41518</v>
      </c>
    </row>
    <row r="662" spans="1:11" x14ac:dyDescent="0.3">
      <c r="A662" s="7" t="s">
        <v>15</v>
      </c>
      <c r="B662" s="8" t="s">
        <v>26</v>
      </c>
      <c r="C662" s="8" t="s">
        <v>20</v>
      </c>
      <c r="D662" s="8" t="s">
        <v>14</v>
      </c>
      <c r="E662" s="11">
        <v>2935</v>
      </c>
      <c r="F662" s="13">
        <v>250</v>
      </c>
      <c r="G662" s="13">
        <v>20</v>
      </c>
      <c r="H662" s="13">
        <v>58700</v>
      </c>
      <c r="I662" s="13">
        <v>6457</v>
      </c>
      <c r="J662" s="13">
        <v>29350</v>
      </c>
      <c r="K662" s="5">
        <v>41579</v>
      </c>
    </row>
    <row r="663" spans="1:11" x14ac:dyDescent="0.3">
      <c r="A663" s="7" t="s">
        <v>15</v>
      </c>
      <c r="B663" s="8" t="s">
        <v>24</v>
      </c>
      <c r="C663" s="8" t="s">
        <v>17</v>
      </c>
      <c r="D663" s="8" t="s">
        <v>16</v>
      </c>
      <c r="E663" s="11">
        <v>2832</v>
      </c>
      <c r="F663" s="13">
        <v>120</v>
      </c>
      <c r="G663" s="13">
        <v>20</v>
      </c>
      <c r="H663" s="13">
        <v>56640</v>
      </c>
      <c r="I663" s="13">
        <v>2832</v>
      </c>
      <c r="J663" s="13">
        <v>28320</v>
      </c>
      <c r="K663" s="5">
        <v>41852</v>
      </c>
    </row>
    <row r="664" spans="1:11" x14ac:dyDescent="0.3">
      <c r="A664" s="7" t="s">
        <v>15</v>
      </c>
      <c r="B664" s="8" t="s">
        <v>25</v>
      </c>
      <c r="C664" s="8" t="s">
        <v>18</v>
      </c>
      <c r="D664" s="8" t="s">
        <v>16</v>
      </c>
      <c r="E664" s="11">
        <v>2993</v>
      </c>
      <c r="F664" s="13">
        <v>10</v>
      </c>
      <c r="G664" s="13">
        <v>20</v>
      </c>
      <c r="H664" s="13">
        <v>59860</v>
      </c>
      <c r="I664" s="13">
        <v>4788.8</v>
      </c>
      <c r="J664" s="13">
        <v>29930</v>
      </c>
      <c r="K664" s="5">
        <v>41883</v>
      </c>
    </row>
    <row r="665" spans="1:11" x14ac:dyDescent="0.3">
      <c r="A665" s="7" t="s">
        <v>15</v>
      </c>
      <c r="B665" s="8" t="s">
        <v>26</v>
      </c>
      <c r="C665" s="8" t="s">
        <v>27</v>
      </c>
      <c r="D665" s="8" t="s">
        <v>14</v>
      </c>
      <c r="E665" s="11">
        <v>200</v>
      </c>
      <c r="F665" s="13">
        <v>5</v>
      </c>
      <c r="G665" s="13">
        <v>350</v>
      </c>
      <c r="H665" s="13">
        <v>70000</v>
      </c>
      <c r="I665" s="13">
        <v>9800</v>
      </c>
      <c r="J665" s="13">
        <v>52000</v>
      </c>
      <c r="K665" s="5">
        <v>41760</v>
      </c>
    </row>
    <row r="666" spans="1:11" x14ac:dyDescent="0.3">
      <c r="A666" s="7" t="s">
        <v>28</v>
      </c>
      <c r="B666" s="8" t="s">
        <v>25</v>
      </c>
      <c r="C666" s="8" t="s">
        <v>20</v>
      </c>
      <c r="D666" s="8" t="s">
        <v>14</v>
      </c>
      <c r="E666" s="11">
        <v>554</v>
      </c>
      <c r="F666" s="13">
        <v>250</v>
      </c>
      <c r="G666" s="13">
        <v>125</v>
      </c>
      <c r="H666" s="13">
        <v>69250</v>
      </c>
      <c r="I666" s="13">
        <v>7617.5</v>
      </c>
      <c r="J666" s="13">
        <v>66480</v>
      </c>
      <c r="K666" s="5">
        <v>41640</v>
      </c>
    </row>
    <row r="667" spans="1:11" x14ac:dyDescent="0.3">
      <c r="A667" s="7" t="s">
        <v>28</v>
      </c>
      <c r="B667" s="8" t="s">
        <v>26</v>
      </c>
      <c r="C667" s="8" t="s">
        <v>17</v>
      </c>
      <c r="D667" s="8" t="s">
        <v>16</v>
      </c>
      <c r="E667" s="11">
        <v>567</v>
      </c>
      <c r="F667" s="13">
        <v>120</v>
      </c>
      <c r="G667" s="13">
        <v>125</v>
      </c>
      <c r="H667" s="13">
        <v>70875</v>
      </c>
      <c r="I667" s="13">
        <v>6378.75</v>
      </c>
      <c r="J667" s="13">
        <v>68040</v>
      </c>
      <c r="K667" s="5">
        <v>41883</v>
      </c>
    </row>
    <row r="668" spans="1:11" x14ac:dyDescent="0.3">
      <c r="A668" s="7" t="s">
        <v>28</v>
      </c>
      <c r="B668" s="8" t="s">
        <v>24</v>
      </c>
      <c r="C668" s="8" t="s">
        <v>13</v>
      </c>
      <c r="D668" s="8" t="s">
        <v>14</v>
      </c>
      <c r="E668" s="11">
        <v>579</v>
      </c>
      <c r="F668" s="13">
        <v>260</v>
      </c>
      <c r="G668" s="13">
        <v>125</v>
      </c>
      <c r="H668" s="13">
        <v>72375</v>
      </c>
      <c r="I668" s="13">
        <v>7237.5</v>
      </c>
      <c r="J668" s="13">
        <v>69480</v>
      </c>
      <c r="K668" s="5">
        <v>41640</v>
      </c>
    </row>
    <row r="669" spans="1:11" x14ac:dyDescent="0.3">
      <c r="A669" s="7" t="s">
        <v>11</v>
      </c>
      <c r="B669" s="8" t="s">
        <v>26</v>
      </c>
      <c r="C669" s="8" t="s">
        <v>17</v>
      </c>
      <c r="D669" s="8" t="s">
        <v>14</v>
      </c>
      <c r="E669" s="11">
        <v>269</v>
      </c>
      <c r="F669" s="13">
        <v>120</v>
      </c>
      <c r="G669" s="13">
        <v>300</v>
      </c>
      <c r="H669" s="13">
        <v>80700</v>
      </c>
      <c r="I669" s="13">
        <v>11298</v>
      </c>
      <c r="J669" s="13">
        <v>67250</v>
      </c>
      <c r="K669" s="5">
        <v>41548</v>
      </c>
    </row>
    <row r="670" spans="1:11" x14ac:dyDescent="0.3">
      <c r="A670" s="7" t="s">
        <v>11</v>
      </c>
      <c r="B670" s="8" t="s">
        <v>26</v>
      </c>
      <c r="C670" s="8" t="s">
        <v>20</v>
      </c>
      <c r="D670" s="8" t="s">
        <v>14</v>
      </c>
      <c r="E670" s="11">
        <v>269</v>
      </c>
      <c r="F670" s="13">
        <v>250</v>
      </c>
      <c r="G670" s="13">
        <v>300</v>
      </c>
      <c r="H670" s="13">
        <v>80700</v>
      </c>
      <c r="I670" s="13">
        <v>11298</v>
      </c>
      <c r="J670" s="13">
        <v>67250</v>
      </c>
      <c r="K670" s="5">
        <v>41548</v>
      </c>
    </row>
    <row r="671" spans="1:11" x14ac:dyDescent="0.3">
      <c r="A671" s="7" t="s">
        <v>15</v>
      </c>
      <c r="B671" s="8" t="s">
        <v>26</v>
      </c>
      <c r="C671" s="8" t="s">
        <v>17</v>
      </c>
      <c r="D671" s="8" t="s">
        <v>19</v>
      </c>
      <c r="E671" s="11">
        <v>3850.5</v>
      </c>
      <c r="F671" s="13">
        <v>120</v>
      </c>
      <c r="G671" s="13">
        <v>20</v>
      </c>
      <c r="H671" s="13">
        <v>77010</v>
      </c>
      <c r="I671" s="13">
        <v>2310.3000000000002</v>
      </c>
      <c r="J671" s="13">
        <v>38505</v>
      </c>
      <c r="K671" s="5">
        <v>41730</v>
      </c>
    </row>
    <row r="672" spans="1:11" x14ac:dyDescent="0.3">
      <c r="A672" s="7" t="s">
        <v>28</v>
      </c>
      <c r="B672" s="8" t="s">
        <v>25</v>
      </c>
      <c r="C672" s="8" t="s">
        <v>18</v>
      </c>
      <c r="D672" s="8" t="s">
        <v>19</v>
      </c>
      <c r="E672" s="11">
        <v>662</v>
      </c>
      <c r="F672" s="13">
        <v>10</v>
      </c>
      <c r="G672" s="13">
        <v>125</v>
      </c>
      <c r="H672" s="13">
        <v>82750</v>
      </c>
      <c r="I672" s="13">
        <v>1655</v>
      </c>
      <c r="J672" s="13">
        <v>79440</v>
      </c>
      <c r="K672" s="5">
        <v>41791</v>
      </c>
    </row>
    <row r="673" spans="1:11" x14ac:dyDescent="0.3">
      <c r="A673" s="7" t="s">
        <v>28</v>
      </c>
      <c r="B673" s="8" t="s">
        <v>25</v>
      </c>
      <c r="C673" s="8" t="s">
        <v>20</v>
      </c>
      <c r="D673" s="8" t="s">
        <v>19</v>
      </c>
      <c r="E673" s="11">
        <v>662</v>
      </c>
      <c r="F673" s="13">
        <v>250</v>
      </c>
      <c r="G673" s="13">
        <v>125</v>
      </c>
      <c r="H673" s="13">
        <v>82750</v>
      </c>
      <c r="I673" s="13">
        <v>1655</v>
      </c>
      <c r="J673" s="13">
        <v>79440</v>
      </c>
      <c r="K673" s="5">
        <v>41791</v>
      </c>
    </row>
    <row r="674" spans="1:11" x14ac:dyDescent="0.3">
      <c r="A674" s="7" t="s">
        <v>28</v>
      </c>
      <c r="B674" s="8" t="s">
        <v>24</v>
      </c>
      <c r="C674" s="8" t="s">
        <v>27</v>
      </c>
      <c r="D674" s="8" t="s">
        <v>19</v>
      </c>
      <c r="E674" s="11">
        <v>663</v>
      </c>
      <c r="F674" s="13">
        <v>5</v>
      </c>
      <c r="G674" s="13">
        <v>125</v>
      </c>
      <c r="H674" s="13">
        <v>82875</v>
      </c>
      <c r="I674" s="13">
        <v>828.75</v>
      </c>
      <c r="J674" s="13">
        <v>79560</v>
      </c>
      <c r="K674" s="5">
        <v>41548</v>
      </c>
    </row>
    <row r="675" spans="1:11" x14ac:dyDescent="0.3">
      <c r="A675" s="7" t="s">
        <v>28</v>
      </c>
      <c r="B675" s="8" t="s">
        <v>24</v>
      </c>
      <c r="C675" s="8" t="s">
        <v>17</v>
      </c>
      <c r="D675" s="8" t="s">
        <v>19</v>
      </c>
      <c r="E675" s="11">
        <v>663</v>
      </c>
      <c r="F675" s="13">
        <v>120</v>
      </c>
      <c r="G675" s="13">
        <v>125</v>
      </c>
      <c r="H675" s="13">
        <v>82875</v>
      </c>
      <c r="I675" s="13">
        <v>828.75</v>
      </c>
      <c r="J675" s="13">
        <v>79560</v>
      </c>
      <c r="K675" s="5">
        <v>41548</v>
      </c>
    </row>
    <row r="676" spans="1:11" x14ac:dyDescent="0.3">
      <c r="A676" s="7" t="s">
        <v>15</v>
      </c>
      <c r="B676" s="8" t="s">
        <v>24</v>
      </c>
      <c r="C676" s="8" t="s">
        <v>13</v>
      </c>
      <c r="D676" s="8" t="s">
        <v>14</v>
      </c>
      <c r="E676" s="11">
        <v>270</v>
      </c>
      <c r="F676" s="13">
        <v>260</v>
      </c>
      <c r="G676" s="13">
        <v>350</v>
      </c>
      <c r="H676" s="13">
        <v>94500</v>
      </c>
      <c r="I676" s="13">
        <v>11340</v>
      </c>
      <c r="J676" s="13">
        <v>70200</v>
      </c>
      <c r="K676" s="5">
        <v>41671</v>
      </c>
    </row>
    <row r="677" spans="1:11" x14ac:dyDescent="0.3">
      <c r="A677" s="7" t="s">
        <v>28</v>
      </c>
      <c r="B677" s="8" t="s">
        <v>24</v>
      </c>
      <c r="C677" s="8" t="s">
        <v>18</v>
      </c>
      <c r="D677" s="8" t="s">
        <v>19</v>
      </c>
      <c r="E677" s="11">
        <v>727</v>
      </c>
      <c r="F677" s="13">
        <v>10</v>
      </c>
      <c r="G677" s="13">
        <v>125</v>
      </c>
      <c r="H677" s="13">
        <v>90875</v>
      </c>
      <c r="I677" s="13">
        <v>908.75</v>
      </c>
      <c r="J677" s="13">
        <v>87240</v>
      </c>
      <c r="K677" s="5">
        <v>41791</v>
      </c>
    </row>
    <row r="678" spans="1:11" x14ac:dyDescent="0.3">
      <c r="A678" s="7" t="s">
        <v>28</v>
      </c>
      <c r="B678" s="8" t="s">
        <v>24</v>
      </c>
      <c r="C678" s="8" t="s">
        <v>20</v>
      </c>
      <c r="D678" s="8" t="s">
        <v>19</v>
      </c>
      <c r="E678" s="11">
        <v>727</v>
      </c>
      <c r="F678" s="13">
        <v>250</v>
      </c>
      <c r="G678" s="13">
        <v>125</v>
      </c>
      <c r="H678" s="13">
        <v>90875</v>
      </c>
      <c r="I678" s="13">
        <v>908.75</v>
      </c>
      <c r="J678" s="13">
        <v>87240</v>
      </c>
      <c r="K678" s="5">
        <v>41791</v>
      </c>
    </row>
    <row r="679" spans="1:11" x14ac:dyDescent="0.3">
      <c r="A679" s="7" t="s">
        <v>28</v>
      </c>
      <c r="B679" s="8" t="s">
        <v>26</v>
      </c>
      <c r="C679" s="8" t="s">
        <v>21</v>
      </c>
      <c r="D679" s="8" t="s">
        <v>19</v>
      </c>
      <c r="E679" s="11">
        <v>742.5</v>
      </c>
      <c r="F679" s="13">
        <v>3</v>
      </c>
      <c r="G679" s="13">
        <v>125</v>
      </c>
      <c r="H679" s="13">
        <v>92812.5</v>
      </c>
      <c r="I679" s="13">
        <v>1856.25</v>
      </c>
      <c r="J679" s="13">
        <v>89100</v>
      </c>
      <c r="K679" s="5">
        <v>41730</v>
      </c>
    </row>
    <row r="680" spans="1:11" x14ac:dyDescent="0.3">
      <c r="A680" s="7" t="s">
        <v>15</v>
      </c>
      <c r="B680" s="8" t="s">
        <v>24</v>
      </c>
      <c r="C680" s="8" t="s">
        <v>20</v>
      </c>
      <c r="D680" s="8" t="s">
        <v>19</v>
      </c>
      <c r="E680" s="11">
        <v>266</v>
      </c>
      <c r="F680" s="13">
        <v>250</v>
      </c>
      <c r="G680" s="13">
        <v>350</v>
      </c>
      <c r="H680" s="13">
        <v>93100</v>
      </c>
      <c r="I680" s="13">
        <v>1862</v>
      </c>
      <c r="J680" s="13">
        <v>69160</v>
      </c>
      <c r="K680" s="5">
        <v>41609</v>
      </c>
    </row>
    <row r="681" spans="1:11" x14ac:dyDescent="0.3">
      <c r="A681" s="7" t="s">
        <v>15</v>
      </c>
      <c r="B681" s="8" t="s">
        <v>24</v>
      </c>
      <c r="C681" s="8" t="s">
        <v>21</v>
      </c>
      <c r="D681" s="8" t="s">
        <v>19</v>
      </c>
      <c r="E681" s="11">
        <v>274</v>
      </c>
      <c r="F681" s="13">
        <v>3</v>
      </c>
      <c r="G681" s="13">
        <v>350</v>
      </c>
      <c r="H681" s="13">
        <v>95900</v>
      </c>
      <c r="I681" s="13">
        <v>3836</v>
      </c>
      <c r="J681" s="13">
        <v>71240</v>
      </c>
      <c r="K681" s="5">
        <v>41974</v>
      </c>
    </row>
    <row r="682" spans="1:11" x14ac:dyDescent="0.3">
      <c r="A682" s="7" t="s">
        <v>15</v>
      </c>
      <c r="B682" s="8" t="s">
        <v>24</v>
      </c>
      <c r="C682" s="8" t="s">
        <v>18</v>
      </c>
      <c r="D682" s="8" t="s">
        <v>19</v>
      </c>
      <c r="E682" s="11">
        <v>274</v>
      </c>
      <c r="F682" s="13">
        <v>10</v>
      </c>
      <c r="G682" s="13">
        <v>350</v>
      </c>
      <c r="H682" s="13">
        <v>95900</v>
      </c>
      <c r="I682" s="13">
        <v>3836</v>
      </c>
      <c r="J682" s="13">
        <v>71240</v>
      </c>
      <c r="K682" s="5">
        <v>41974</v>
      </c>
    </row>
    <row r="683" spans="1:11" x14ac:dyDescent="0.3">
      <c r="A683" s="7" t="s">
        <v>28</v>
      </c>
      <c r="B683" s="8" t="s">
        <v>25</v>
      </c>
      <c r="C683" s="8" t="s">
        <v>20</v>
      </c>
      <c r="D683" s="8" t="s">
        <v>16</v>
      </c>
      <c r="E683" s="11">
        <v>877</v>
      </c>
      <c r="F683" s="13">
        <v>250</v>
      </c>
      <c r="G683" s="13">
        <v>125</v>
      </c>
      <c r="H683" s="13">
        <v>109625</v>
      </c>
      <c r="I683" s="13">
        <v>9866.25</v>
      </c>
      <c r="J683" s="13">
        <v>105240</v>
      </c>
      <c r="K683" s="5">
        <v>41944</v>
      </c>
    </row>
    <row r="684" spans="1:11" x14ac:dyDescent="0.3">
      <c r="A684" s="7" t="s">
        <v>28</v>
      </c>
      <c r="B684" s="8" t="s">
        <v>24</v>
      </c>
      <c r="C684" s="8" t="s">
        <v>18</v>
      </c>
      <c r="D684" s="8" t="s">
        <v>16</v>
      </c>
      <c r="E684" s="11">
        <v>861</v>
      </c>
      <c r="F684" s="13">
        <v>10</v>
      </c>
      <c r="G684" s="13">
        <v>125</v>
      </c>
      <c r="H684" s="13">
        <v>107625</v>
      </c>
      <c r="I684" s="13">
        <v>5381.25</v>
      </c>
      <c r="J684" s="13">
        <v>103320</v>
      </c>
      <c r="K684" s="5">
        <v>41913</v>
      </c>
    </row>
    <row r="685" spans="1:11" x14ac:dyDescent="0.3">
      <c r="A685" s="7" t="s">
        <v>28</v>
      </c>
      <c r="B685" s="8" t="s">
        <v>24</v>
      </c>
      <c r="C685" s="8" t="s">
        <v>17</v>
      </c>
      <c r="D685" s="8" t="s">
        <v>16</v>
      </c>
      <c r="E685" s="11">
        <v>861</v>
      </c>
      <c r="F685" s="13">
        <v>120</v>
      </c>
      <c r="G685" s="13">
        <v>125</v>
      </c>
      <c r="H685" s="13">
        <v>107625</v>
      </c>
      <c r="I685" s="13">
        <v>5381.25</v>
      </c>
      <c r="J685" s="13">
        <v>103320</v>
      </c>
      <c r="K685" s="5">
        <v>41913</v>
      </c>
    </row>
    <row r="686" spans="1:11" x14ac:dyDescent="0.3">
      <c r="A686" s="7" t="s">
        <v>28</v>
      </c>
      <c r="B686" s="8" t="s">
        <v>25</v>
      </c>
      <c r="C686" s="8" t="s">
        <v>13</v>
      </c>
      <c r="D686" s="8" t="s">
        <v>14</v>
      </c>
      <c r="E686" s="11">
        <v>947</v>
      </c>
      <c r="F686" s="13">
        <v>260</v>
      </c>
      <c r="G686" s="13">
        <v>125</v>
      </c>
      <c r="H686" s="13">
        <v>118375</v>
      </c>
      <c r="I686" s="13">
        <v>13021.25</v>
      </c>
      <c r="J686" s="13">
        <v>113640</v>
      </c>
      <c r="K686" s="5">
        <v>41518</v>
      </c>
    </row>
    <row r="687" spans="1:11" x14ac:dyDescent="0.3">
      <c r="A687" s="7" t="s">
        <v>15</v>
      </c>
      <c r="B687" s="8" t="s">
        <v>25</v>
      </c>
      <c r="C687" s="8" t="s">
        <v>13</v>
      </c>
      <c r="D687" s="8" t="s">
        <v>14</v>
      </c>
      <c r="E687" s="11">
        <v>344</v>
      </c>
      <c r="F687" s="13">
        <v>260</v>
      </c>
      <c r="G687" s="13">
        <v>350</v>
      </c>
      <c r="H687" s="13">
        <v>120400</v>
      </c>
      <c r="I687" s="13">
        <v>13244</v>
      </c>
      <c r="J687" s="13">
        <v>89440</v>
      </c>
      <c r="K687" s="5">
        <v>41548</v>
      </c>
    </row>
    <row r="688" spans="1:11" x14ac:dyDescent="0.3">
      <c r="A688" s="7" t="s">
        <v>15</v>
      </c>
      <c r="B688" s="8" t="s">
        <v>25</v>
      </c>
      <c r="C688" s="8" t="s">
        <v>17</v>
      </c>
      <c r="D688" s="8" t="s">
        <v>14</v>
      </c>
      <c r="E688" s="11">
        <v>344</v>
      </c>
      <c r="F688" s="13">
        <v>120</v>
      </c>
      <c r="G688" s="13">
        <v>350</v>
      </c>
      <c r="H688" s="13">
        <v>120400</v>
      </c>
      <c r="I688" s="13">
        <v>13244</v>
      </c>
      <c r="J688" s="13">
        <v>89440</v>
      </c>
      <c r="K688" s="5">
        <v>41548</v>
      </c>
    </row>
    <row r="689" spans="1:11" x14ac:dyDescent="0.3">
      <c r="A689" s="7" t="s">
        <v>28</v>
      </c>
      <c r="B689" s="8" t="s">
        <v>26</v>
      </c>
      <c r="C689" s="8" t="s">
        <v>17</v>
      </c>
      <c r="D689" s="8" t="s">
        <v>16</v>
      </c>
      <c r="E689" s="11">
        <v>952</v>
      </c>
      <c r="F689" s="13">
        <v>120</v>
      </c>
      <c r="G689" s="13">
        <v>125</v>
      </c>
      <c r="H689" s="13">
        <v>119000</v>
      </c>
      <c r="I689" s="13">
        <v>7140</v>
      </c>
      <c r="J689" s="13">
        <v>114240</v>
      </c>
      <c r="K689" s="5">
        <v>41671</v>
      </c>
    </row>
    <row r="690" spans="1:11" x14ac:dyDescent="0.3">
      <c r="A690" s="7" t="s">
        <v>28</v>
      </c>
      <c r="B690" s="8" t="s">
        <v>26</v>
      </c>
      <c r="C690" s="8" t="s">
        <v>17</v>
      </c>
      <c r="D690" s="8" t="s">
        <v>19</v>
      </c>
      <c r="E690" s="11">
        <v>923</v>
      </c>
      <c r="F690" s="13">
        <v>120</v>
      </c>
      <c r="G690" s="13">
        <v>125</v>
      </c>
      <c r="H690" s="13">
        <v>115375</v>
      </c>
      <c r="I690" s="13">
        <v>1153.75</v>
      </c>
      <c r="J690" s="13">
        <v>110760</v>
      </c>
      <c r="K690" s="5">
        <v>41852</v>
      </c>
    </row>
    <row r="691" spans="1:11" x14ac:dyDescent="0.3">
      <c r="A691" s="7" t="s">
        <v>11</v>
      </c>
      <c r="B691" s="8" t="s">
        <v>25</v>
      </c>
      <c r="C691" s="8" t="s">
        <v>20</v>
      </c>
      <c r="D691" s="8" t="s">
        <v>14</v>
      </c>
      <c r="E691" s="11">
        <v>432</v>
      </c>
      <c r="F691" s="13">
        <v>250</v>
      </c>
      <c r="G691" s="13">
        <v>300</v>
      </c>
      <c r="H691" s="13">
        <v>129600</v>
      </c>
      <c r="I691" s="13">
        <v>12960</v>
      </c>
      <c r="J691" s="13">
        <v>108000</v>
      </c>
      <c r="K691" s="5">
        <v>41883</v>
      </c>
    </row>
    <row r="692" spans="1:11" x14ac:dyDescent="0.3">
      <c r="A692" s="7" t="s">
        <v>15</v>
      </c>
      <c r="B692" s="8" t="s">
        <v>24</v>
      </c>
      <c r="C692" s="8" t="s">
        <v>20</v>
      </c>
      <c r="D692" s="8" t="s">
        <v>19</v>
      </c>
      <c r="E692" s="11">
        <v>349</v>
      </c>
      <c r="F692" s="13">
        <v>250</v>
      </c>
      <c r="G692" s="13">
        <v>350</v>
      </c>
      <c r="H692" s="13">
        <v>122150</v>
      </c>
      <c r="I692" s="13">
        <v>4886</v>
      </c>
      <c r="J692" s="13">
        <v>90740</v>
      </c>
      <c r="K692" s="5">
        <v>41518</v>
      </c>
    </row>
    <row r="693" spans="1:11" x14ac:dyDescent="0.3">
      <c r="A693" s="7" t="s">
        <v>28</v>
      </c>
      <c r="B693" s="8" t="s">
        <v>25</v>
      </c>
      <c r="C693" s="8" t="s">
        <v>18</v>
      </c>
      <c r="D693" s="8" t="s">
        <v>16</v>
      </c>
      <c r="E693" s="11">
        <v>1114</v>
      </c>
      <c r="F693" s="13">
        <v>10</v>
      </c>
      <c r="G693" s="13">
        <v>125</v>
      </c>
      <c r="H693" s="13">
        <v>139250</v>
      </c>
      <c r="I693" s="13">
        <v>11140</v>
      </c>
      <c r="J693" s="13">
        <v>133680</v>
      </c>
      <c r="K693" s="5">
        <v>41699</v>
      </c>
    </row>
    <row r="694" spans="1:11" x14ac:dyDescent="0.3">
      <c r="A694" s="7" t="s">
        <v>28</v>
      </c>
      <c r="B694" s="8" t="s">
        <v>25</v>
      </c>
      <c r="C694" s="8" t="s">
        <v>13</v>
      </c>
      <c r="D694" s="8" t="s">
        <v>19</v>
      </c>
      <c r="E694" s="11">
        <v>1074</v>
      </c>
      <c r="F694" s="13">
        <v>260</v>
      </c>
      <c r="G694" s="13">
        <v>125</v>
      </c>
      <c r="H694" s="13">
        <v>134250</v>
      </c>
      <c r="I694" s="13">
        <v>5370</v>
      </c>
      <c r="J694" s="13">
        <v>128880</v>
      </c>
      <c r="K694" s="5">
        <v>41730</v>
      </c>
    </row>
    <row r="695" spans="1:11" x14ac:dyDescent="0.3">
      <c r="A695" s="7" t="s">
        <v>28</v>
      </c>
      <c r="B695" s="8" t="s">
        <v>25</v>
      </c>
      <c r="C695" s="8" t="s">
        <v>27</v>
      </c>
      <c r="D695" s="8" t="s">
        <v>19</v>
      </c>
      <c r="E695" s="11">
        <v>1138</v>
      </c>
      <c r="F695" s="13">
        <v>5</v>
      </c>
      <c r="G695" s="13">
        <v>125</v>
      </c>
      <c r="H695" s="13">
        <v>142250</v>
      </c>
      <c r="I695" s="13">
        <v>5690</v>
      </c>
      <c r="J695" s="13">
        <v>136560</v>
      </c>
      <c r="K695" s="5">
        <v>41974</v>
      </c>
    </row>
    <row r="696" spans="1:11" x14ac:dyDescent="0.3">
      <c r="A696" s="7" t="s">
        <v>28</v>
      </c>
      <c r="B696" s="8" t="s">
        <v>25</v>
      </c>
      <c r="C696" s="8" t="s">
        <v>18</v>
      </c>
      <c r="D696" s="8" t="s">
        <v>19</v>
      </c>
      <c r="E696" s="11">
        <v>1138</v>
      </c>
      <c r="F696" s="13">
        <v>10</v>
      </c>
      <c r="G696" s="13">
        <v>125</v>
      </c>
      <c r="H696" s="13">
        <v>142250</v>
      </c>
      <c r="I696" s="13">
        <v>5690</v>
      </c>
      <c r="J696" s="13">
        <v>136560</v>
      </c>
      <c r="K696" s="5">
        <v>41974</v>
      </c>
    </row>
    <row r="697" spans="1:11" x14ac:dyDescent="0.3">
      <c r="A697" s="7" t="s">
        <v>11</v>
      </c>
      <c r="B697" s="8" t="s">
        <v>25</v>
      </c>
      <c r="C697" s="8" t="s">
        <v>13</v>
      </c>
      <c r="D697" s="8" t="s">
        <v>14</v>
      </c>
      <c r="E697" s="11">
        <v>546</v>
      </c>
      <c r="F697" s="13">
        <v>260</v>
      </c>
      <c r="G697" s="13">
        <v>300</v>
      </c>
      <c r="H697" s="13">
        <v>163800</v>
      </c>
      <c r="I697" s="13">
        <v>24570</v>
      </c>
      <c r="J697" s="13">
        <v>136500</v>
      </c>
      <c r="K697" s="5">
        <v>41913</v>
      </c>
    </row>
    <row r="698" spans="1:11" x14ac:dyDescent="0.3">
      <c r="A698" s="7" t="s">
        <v>11</v>
      </c>
      <c r="B698" s="8" t="s">
        <v>25</v>
      </c>
      <c r="C698" s="8" t="s">
        <v>27</v>
      </c>
      <c r="D698" s="8" t="s">
        <v>14</v>
      </c>
      <c r="E698" s="11">
        <v>546</v>
      </c>
      <c r="F698" s="13">
        <v>5</v>
      </c>
      <c r="G698" s="13">
        <v>300</v>
      </c>
      <c r="H698" s="13">
        <v>163800</v>
      </c>
      <c r="I698" s="13">
        <v>24570</v>
      </c>
      <c r="J698" s="13">
        <v>136500</v>
      </c>
      <c r="K698" s="5">
        <v>41913</v>
      </c>
    </row>
    <row r="699" spans="1:11" x14ac:dyDescent="0.3">
      <c r="A699" s="7" t="s">
        <v>11</v>
      </c>
      <c r="B699" s="8" t="s">
        <v>25</v>
      </c>
      <c r="C699" s="8" t="s">
        <v>21</v>
      </c>
      <c r="D699" s="8" t="s">
        <v>19</v>
      </c>
      <c r="E699" s="11">
        <v>494</v>
      </c>
      <c r="F699" s="13">
        <v>3</v>
      </c>
      <c r="G699" s="13">
        <v>300</v>
      </c>
      <c r="H699" s="13">
        <v>148200</v>
      </c>
      <c r="I699" s="13">
        <v>1482</v>
      </c>
      <c r="J699" s="13">
        <v>123500</v>
      </c>
      <c r="K699" s="5">
        <v>41548</v>
      </c>
    </row>
    <row r="700" spans="1:11" x14ac:dyDescent="0.3">
      <c r="A700" s="7" t="s">
        <v>11</v>
      </c>
      <c r="B700" s="8" t="s">
        <v>25</v>
      </c>
      <c r="C700" s="8" t="s">
        <v>20</v>
      </c>
      <c r="D700" s="8" t="s">
        <v>19</v>
      </c>
      <c r="E700" s="11">
        <v>494</v>
      </c>
      <c r="F700" s="13">
        <v>250</v>
      </c>
      <c r="G700" s="13">
        <v>300</v>
      </c>
      <c r="H700" s="13">
        <v>148200</v>
      </c>
      <c r="I700" s="13">
        <v>1482</v>
      </c>
      <c r="J700" s="13">
        <v>123500</v>
      </c>
      <c r="K700" s="5">
        <v>41548</v>
      </c>
    </row>
    <row r="701" spans="1:11" x14ac:dyDescent="0.3">
      <c r="A701" s="9" t="s">
        <v>11</v>
      </c>
      <c r="B701" s="10" t="s">
        <v>25</v>
      </c>
      <c r="C701" s="10" t="s">
        <v>18</v>
      </c>
      <c r="D701" s="10" t="s">
        <v>14</v>
      </c>
      <c r="E701" s="12">
        <v>591</v>
      </c>
      <c r="F701" s="14">
        <v>10</v>
      </c>
      <c r="G701" s="14">
        <v>300</v>
      </c>
      <c r="H701" s="14">
        <v>177300</v>
      </c>
      <c r="I701" s="14">
        <v>17730</v>
      </c>
      <c r="J701" s="14">
        <v>147750</v>
      </c>
      <c r="K701" s="6">
        <v>41760</v>
      </c>
    </row>
  </sheetData>
  <autoFilter ref="A1:K701"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tabSelected="1" topLeftCell="A11" zoomScale="51" workbookViewId="0">
      <selection activeCell="C1" sqref="C1"/>
    </sheetView>
  </sheetViews>
  <sheetFormatPr defaultRowHeight="14.4" x14ac:dyDescent="0.3"/>
  <cols>
    <col min="40" max="40" width="3.1093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filter on montana</vt:lpstr>
      <vt:lpstr>filter on germany w paseo</vt:lpstr>
      <vt:lpstr>PT-country&amp;product-SalesPrice</vt:lpstr>
      <vt:lpstr>PT-Segment-Unitssold-MP</vt:lpstr>
      <vt:lpstr>PT-DB-COGS-Discounts</vt:lpstr>
      <vt:lpstr>PT-Date-Grosssales</vt:lpstr>
      <vt:lpstr>pivot chart-DB-country</vt:lpstr>
      <vt:lpstr>Product-COGS-pie chart</vt:lpstr>
      <vt:lpstr>Date-SP-line</vt:lpstr>
      <vt:lpstr>Segment-SP-donut chart</vt:lpstr>
      <vt:lpstr>pie chart-coountrywise-SP</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Prajwal Kumbhar</cp:lastModifiedBy>
  <dcterms:created xsi:type="dcterms:W3CDTF">2026-02-09T14:32:20Z</dcterms:created>
  <dcterms:modified xsi:type="dcterms:W3CDTF">2026-02-11T15:27:41Z</dcterms:modified>
</cp:coreProperties>
</file>