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jawal\OneDrive\Desktop\ITVedant Excel\"/>
    </mc:Choice>
  </mc:AlternateContent>
  <xr:revisionPtr revIDLastSave="0" documentId="13_ncr:1_{AF7FB8D3-C816-4563-8CEA-383F43D82E5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tring functions" sheetId="1" r:id="rId1"/>
    <sheet name="Date 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F3" i="2"/>
  <c r="E4" i="2"/>
  <c r="D4" i="2"/>
  <c r="C4" i="2"/>
  <c r="B4" i="2"/>
  <c r="C15" i="1"/>
  <c r="C16" i="1"/>
  <c r="C17" i="1"/>
  <c r="C18" i="1"/>
  <c r="C19" i="1"/>
  <c r="C14" i="1"/>
  <c r="H14" i="1"/>
  <c r="E15" i="1"/>
  <c r="E16" i="1"/>
  <c r="E17" i="1"/>
  <c r="E18" i="1"/>
  <c r="E19" i="1"/>
  <c r="E14" i="1"/>
  <c r="O3" i="1"/>
  <c r="O4" i="1"/>
  <c r="O5" i="1"/>
  <c r="O6" i="1"/>
  <c r="O7" i="1"/>
  <c r="O2" i="1"/>
  <c r="N3" i="1"/>
  <c r="N4" i="1"/>
  <c r="N5" i="1"/>
  <c r="N6" i="1"/>
  <c r="N7" i="1"/>
  <c r="N2" i="1"/>
  <c r="L3" i="1"/>
  <c r="L4" i="1"/>
  <c r="L5" i="1"/>
  <c r="L6" i="1"/>
  <c r="L7" i="1"/>
  <c r="L2" i="1"/>
  <c r="K3" i="1"/>
  <c r="K4" i="1"/>
  <c r="K5" i="1"/>
  <c r="K6" i="1"/>
  <c r="K7" i="1"/>
  <c r="K2" i="1"/>
  <c r="D15" i="1"/>
  <c r="D16" i="1"/>
  <c r="D17" i="1"/>
  <c r="D18" i="1"/>
  <c r="D19" i="1"/>
  <c r="D14" i="1"/>
  <c r="B15" i="1"/>
  <c r="B16" i="1"/>
  <c r="B17" i="1"/>
  <c r="B18" i="1"/>
  <c r="B19" i="1"/>
  <c r="B14" i="1"/>
  <c r="J3" i="1"/>
  <c r="J4" i="1"/>
  <c r="J5" i="1"/>
  <c r="J6" i="1"/>
  <c r="J7" i="1"/>
  <c r="J2" i="1"/>
  <c r="M3" i="1"/>
  <c r="M4" i="1"/>
  <c r="M5" i="1"/>
  <c r="M6" i="1"/>
  <c r="M7" i="1"/>
  <c r="M2" i="1"/>
  <c r="I2" i="1"/>
  <c r="H3" i="1"/>
  <c r="I3" i="1" s="1"/>
  <c r="H4" i="1"/>
  <c r="I4" i="1" s="1"/>
  <c r="H5" i="1"/>
  <c r="I5" i="1" s="1"/>
  <c r="H6" i="1"/>
  <c r="I6" i="1" s="1"/>
  <c r="H7" i="1"/>
  <c r="I7" i="1" s="1"/>
  <c r="H2" i="1"/>
  <c r="G3" i="1"/>
  <c r="G4" i="1"/>
  <c r="G5" i="1"/>
  <c r="G6" i="1"/>
  <c r="G7" i="1"/>
  <c r="G2" i="1"/>
  <c r="F3" i="1"/>
  <c r="F4" i="1"/>
  <c r="F5" i="1"/>
  <c r="F6" i="1"/>
  <c r="F7" i="1"/>
  <c r="F2" i="1"/>
  <c r="E3" i="1"/>
  <c r="E4" i="1"/>
  <c r="E5" i="1"/>
  <c r="E6" i="1"/>
  <c r="E7" i="1"/>
  <c r="E2" i="1"/>
  <c r="A3" i="2"/>
  <c r="B3" i="2" s="1"/>
  <c r="H3" i="2" l="1"/>
  <c r="H5" i="2"/>
  <c r="H4" i="2"/>
  <c r="E3" i="2"/>
  <c r="D3" i="2"/>
  <c r="C3" i="2"/>
</calcChain>
</file>

<file path=xl/sharedStrings.xml><?xml version="1.0" encoding="utf-8"?>
<sst xmlns="http://schemas.openxmlformats.org/spreadsheetml/2006/main" count="51" uniqueCount="50">
  <si>
    <t>Employee FirstName</t>
  </si>
  <si>
    <t>Middlename</t>
  </si>
  <si>
    <t>Lastname</t>
  </si>
  <si>
    <t>ID</t>
  </si>
  <si>
    <t>Damini</t>
  </si>
  <si>
    <t>Vinay</t>
  </si>
  <si>
    <t>Gupta</t>
  </si>
  <si>
    <t>George</t>
  </si>
  <si>
    <t>Antilo</t>
  </si>
  <si>
    <t>Dcruz</t>
  </si>
  <si>
    <t>Firoz</t>
  </si>
  <si>
    <t>Khan</t>
  </si>
  <si>
    <t>Dhrupat</t>
  </si>
  <si>
    <t>Ketan</t>
  </si>
  <si>
    <t>Hari</t>
  </si>
  <si>
    <t>Yadav</t>
  </si>
  <si>
    <t>Shina</t>
  </si>
  <si>
    <t>Amit</t>
  </si>
  <si>
    <t>Jadhav</t>
  </si>
  <si>
    <t>UPPER</t>
  </si>
  <si>
    <t>lower</t>
  </si>
  <si>
    <t>Proper</t>
  </si>
  <si>
    <t>mohd</t>
  </si>
  <si>
    <t>patel</t>
  </si>
  <si>
    <t>jinal</t>
  </si>
  <si>
    <t>concatenate</t>
  </si>
  <si>
    <t>Full name proper</t>
  </si>
  <si>
    <t>email id</t>
  </si>
  <si>
    <t>LEFT</t>
  </si>
  <si>
    <t>Right</t>
  </si>
  <si>
    <t>MID</t>
  </si>
  <si>
    <t>userid</t>
  </si>
  <si>
    <t xml:space="preserve">  Damini  </t>
  </si>
  <si>
    <t xml:space="preserve">         George         </t>
  </si>
  <si>
    <t xml:space="preserve">       Firoz          </t>
  </si>
  <si>
    <t xml:space="preserve">   jinal   </t>
  </si>
  <si>
    <t xml:space="preserve">       Ketan   </t>
  </si>
  <si>
    <t xml:space="preserve">         Shina             </t>
  </si>
  <si>
    <t>trim</t>
  </si>
  <si>
    <t>trim with upper</t>
  </si>
  <si>
    <t>length</t>
  </si>
  <si>
    <t>Find</t>
  </si>
  <si>
    <t>Substitute</t>
  </si>
  <si>
    <t>DAY</t>
  </si>
  <si>
    <t>MONTH</t>
  </si>
  <si>
    <t>YEAR</t>
  </si>
  <si>
    <t>Eomonth</t>
  </si>
  <si>
    <t>Now</t>
  </si>
  <si>
    <t>today</t>
  </si>
  <si>
    <t>Datedif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</si>
</sst>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zoomScale="106" zoomScaleNormal="106" workbookViewId="0">
      <selection activeCell="C15" sqref="C15"/>
    </sheetView>
  </sheetViews>
  <sheetFormatPr defaultRowHeight="14.4" x14ac:dyDescent="0.3"/>
  <cols>
    <col min="1" max="1" width="20.109375" bestFit="1" customWidth="1"/>
    <col min="2" max="2" width="12.33203125" bestFit="1" customWidth="1"/>
    <col min="3" max="3" width="15.44140625" bestFit="1" customWidth="1"/>
    <col min="8" max="9" width="19.6640625" bestFit="1" customWidth="1"/>
    <col min="10" max="10" width="26.88671875" bestFit="1" customWidth="1"/>
    <col min="11" max="11" width="31.44140625" bestFit="1" customWidth="1"/>
    <col min="15" max="15" width="1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25</v>
      </c>
      <c r="I1" t="s">
        <v>26</v>
      </c>
      <c r="J1" t="s">
        <v>27</v>
      </c>
      <c r="K1" t="s">
        <v>42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3">
      <c r="A2" t="s">
        <v>4</v>
      </c>
      <c r="B2" t="s">
        <v>5</v>
      </c>
      <c r="C2" t="s">
        <v>6</v>
      </c>
      <c r="D2">
        <v>55577</v>
      </c>
      <c r="E2" t="str">
        <f>UPPER(A2)</f>
        <v>DAMINI</v>
      </c>
      <c r="F2" t="str">
        <f>LOWER(A2)</f>
        <v>damini</v>
      </c>
      <c r="G2" t="str">
        <f>PROPER(B2)</f>
        <v>Vinay</v>
      </c>
      <c r="H2" t="str">
        <f>CONCATENATE(A2," ",B2," ", C2)</f>
        <v>Damini Vinay Gupta</v>
      </c>
      <c r="I2" t="str">
        <f>PROPER(H2)</f>
        <v>Damini Vinay Gupta</v>
      </c>
      <c r="J2" t="str">
        <f>LOWER(CONCATENATE(A2,".",C2,M2,"@gmail.com"))</f>
        <v>damini.gupta577@gmail.com</v>
      </c>
      <c r="K2" t="str">
        <f>SUBSTITUTE(J2,"gmail","ITVedant")</f>
        <v>damini.gupta577@ITVedant.com</v>
      </c>
      <c r="L2" t="str">
        <f>LEFT(D2,3)</f>
        <v>555</v>
      </c>
      <c r="M2" t="str">
        <f>RIGHT(D2,3)</f>
        <v>577</v>
      </c>
      <c r="N2" t="str">
        <f>MID(A2,3,4)</f>
        <v>mini</v>
      </c>
      <c r="O2" t="str">
        <f>LOWER(CONCATENATE(LEFT(A2,3),".",M2,))</f>
        <v>dam.577</v>
      </c>
    </row>
    <row r="3" spans="1:15" x14ac:dyDescent="0.3">
      <c r="A3" t="s">
        <v>7</v>
      </c>
      <c r="B3" t="s">
        <v>8</v>
      </c>
      <c r="C3" t="s">
        <v>9</v>
      </c>
      <c r="D3">
        <v>55677</v>
      </c>
      <c r="E3" t="str">
        <f t="shared" ref="E3:E7" si="0">UPPER(A3)</f>
        <v>GEORGE</v>
      </c>
      <c r="F3" t="str">
        <f t="shared" ref="F3:F7" si="1">LOWER(A3)</f>
        <v>george</v>
      </c>
      <c r="G3" t="str">
        <f t="shared" ref="G3:G7" si="2">PROPER(B3)</f>
        <v>Antilo</v>
      </c>
      <c r="H3" t="str">
        <f t="shared" ref="H3:H7" si="3">CONCATENATE(A3," ",B3," ", C3)</f>
        <v>George Antilo Dcruz</v>
      </c>
      <c r="I3" t="str">
        <f t="shared" ref="I3:I7" si="4">PROPER(H3)</f>
        <v>George Antilo Dcruz</v>
      </c>
      <c r="J3" t="str">
        <f t="shared" ref="J3:J7" si="5">LOWER(CONCATENATE(A3,".",C3,M3,"@gmail.com"))</f>
        <v>george.dcruz677@gmail.com</v>
      </c>
      <c r="K3" t="str">
        <f t="shared" ref="K3:K7" si="6">SUBSTITUTE(J3,"gmail","ITVedant")</f>
        <v>george.dcruz677@ITVedant.com</v>
      </c>
      <c r="L3" t="str">
        <f t="shared" ref="L3:L7" si="7">LEFT(D3,3)</f>
        <v>556</v>
      </c>
      <c r="M3" t="str">
        <f t="shared" ref="M3:M7" si="8">RIGHT(D3,3)</f>
        <v>677</v>
      </c>
      <c r="N3" t="str">
        <f t="shared" ref="N3:N7" si="9">MID(A3,3,4)</f>
        <v>orge</v>
      </c>
      <c r="O3" t="str">
        <f t="shared" ref="O3:O7" si="10">LOWER(CONCATENATE(LEFT(A3,3),".",M3,))</f>
        <v>geo.677</v>
      </c>
    </row>
    <row r="4" spans="1:15" x14ac:dyDescent="0.3">
      <c r="A4" t="s">
        <v>10</v>
      </c>
      <c r="B4" t="s">
        <v>22</v>
      </c>
      <c r="C4" t="s">
        <v>11</v>
      </c>
      <c r="D4">
        <v>55777</v>
      </c>
      <c r="E4" t="str">
        <f t="shared" si="0"/>
        <v>FIROZ</v>
      </c>
      <c r="F4" t="str">
        <f t="shared" si="1"/>
        <v>firoz</v>
      </c>
      <c r="G4" t="str">
        <f t="shared" si="2"/>
        <v>Mohd</v>
      </c>
      <c r="H4" t="str">
        <f t="shared" si="3"/>
        <v>Firoz mohd Khan</v>
      </c>
      <c r="I4" t="str">
        <f t="shared" si="4"/>
        <v>Firoz Mohd Khan</v>
      </c>
      <c r="J4" t="str">
        <f t="shared" si="5"/>
        <v>firoz.khan777@gmail.com</v>
      </c>
      <c r="K4" t="str">
        <f t="shared" si="6"/>
        <v>firoz.khan777@ITVedant.com</v>
      </c>
      <c r="L4" t="str">
        <f t="shared" si="7"/>
        <v>557</v>
      </c>
      <c r="M4" t="str">
        <f t="shared" si="8"/>
        <v>777</v>
      </c>
      <c r="N4" t="str">
        <f t="shared" si="9"/>
        <v>roz</v>
      </c>
      <c r="O4" t="str">
        <f t="shared" si="10"/>
        <v>fir.777</v>
      </c>
    </row>
    <row r="5" spans="1:15" x14ac:dyDescent="0.3">
      <c r="A5" t="s">
        <v>24</v>
      </c>
      <c r="B5" t="s">
        <v>12</v>
      </c>
      <c r="C5" t="s">
        <v>23</v>
      </c>
      <c r="D5">
        <v>57896</v>
      </c>
      <c r="E5" t="str">
        <f t="shared" si="0"/>
        <v>JINAL</v>
      </c>
      <c r="F5" t="str">
        <f t="shared" si="1"/>
        <v>jinal</v>
      </c>
      <c r="G5" t="str">
        <f t="shared" si="2"/>
        <v>Dhrupat</v>
      </c>
      <c r="H5" t="str">
        <f t="shared" si="3"/>
        <v>jinal Dhrupat patel</v>
      </c>
      <c r="I5" t="str">
        <f t="shared" si="4"/>
        <v>Jinal Dhrupat Patel</v>
      </c>
      <c r="J5" t="str">
        <f t="shared" si="5"/>
        <v>jinal.patel896@gmail.com</v>
      </c>
      <c r="K5" t="str">
        <f t="shared" si="6"/>
        <v>jinal.patel896@ITVedant.com</v>
      </c>
      <c r="L5" t="str">
        <f t="shared" si="7"/>
        <v>578</v>
      </c>
      <c r="M5" t="str">
        <f t="shared" si="8"/>
        <v>896</v>
      </c>
      <c r="N5" t="str">
        <f t="shared" si="9"/>
        <v>nal</v>
      </c>
      <c r="O5" t="str">
        <f t="shared" si="10"/>
        <v>jin.896</v>
      </c>
    </row>
    <row r="6" spans="1:15" x14ac:dyDescent="0.3">
      <c r="A6" t="s">
        <v>13</v>
      </c>
      <c r="B6" t="s">
        <v>14</v>
      </c>
      <c r="C6" t="s">
        <v>15</v>
      </c>
      <c r="D6">
        <v>57451</v>
      </c>
      <c r="E6" t="str">
        <f t="shared" si="0"/>
        <v>KETAN</v>
      </c>
      <c r="F6" t="str">
        <f t="shared" si="1"/>
        <v>ketan</v>
      </c>
      <c r="G6" t="str">
        <f t="shared" si="2"/>
        <v>Hari</v>
      </c>
      <c r="H6" t="str">
        <f t="shared" si="3"/>
        <v>Ketan Hari Yadav</v>
      </c>
      <c r="I6" t="str">
        <f t="shared" si="4"/>
        <v>Ketan Hari Yadav</v>
      </c>
      <c r="J6" t="str">
        <f t="shared" si="5"/>
        <v>ketan.yadav451@gmail.com</v>
      </c>
      <c r="K6" t="str">
        <f t="shared" si="6"/>
        <v>ketan.yadav451@ITVedant.com</v>
      </c>
      <c r="L6" t="str">
        <f t="shared" si="7"/>
        <v>574</v>
      </c>
      <c r="M6" t="str">
        <f t="shared" si="8"/>
        <v>451</v>
      </c>
      <c r="N6" t="str">
        <f t="shared" si="9"/>
        <v>tan</v>
      </c>
      <c r="O6" t="str">
        <f t="shared" si="10"/>
        <v>ket.451</v>
      </c>
    </row>
    <row r="7" spans="1:15" x14ac:dyDescent="0.3">
      <c r="A7" t="s">
        <v>16</v>
      </c>
      <c r="B7" t="s">
        <v>17</v>
      </c>
      <c r="C7" t="s">
        <v>18</v>
      </c>
      <c r="D7">
        <v>57123</v>
      </c>
      <c r="E7" t="str">
        <f t="shared" si="0"/>
        <v>SHINA</v>
      </c>
      <c r="F7" t="str">
        <f t="shared" si="1"/>
        <v>shina</v>
      </c>
      <c r="G7" t="str">
        <f t="shared" si="2"/>
        <v>Amit</v>
      </c>
      <c r="H7" t="str">
        <f t="shared" si="3"/>
        <v>Shina Amit Jadhav</v>
      </c>
      <c r="I7" t="str">
        <f t="shared" si="4"/>
        <v>Shina Amit Jadhav</v>
      </c>
      <c r="J7" t="str">
        <f t="shared" si="5"/>
        <v>shina.jadhav123@gmail.com</v>
      </c>
      <c r="K7" t="str">
        <f t="shared" si="6"/>
        <v>shina.jadhav123@ITVedant.com</v>
      </c>
      <c r="L7" t="str">
        <f t="shared" si="7"/>
        <v>571</v>
      </c>
      <c r="M7" t="str">
        <f t="shared" si="8"/>
        <v>123</v>
      </c>
      <c r="N7" t="str">
        <f t="shared" si="9"/>
        <v>ina</v>
      </c>
      <c r="O7" t="str">
        <f t="shared" si="10"/>
        <v>shi.123</v>
      </c>
    </row>
    <row r="13" spans="1:15" x14ac:dyDescent="0.3">
      <c r="A13" t="s">
        <v>0</v>
      </c>
      <c r="B13" t="s">
        <v>38</v>
      </c>
      <c r="C13" t="s">
        <v>39</v>
      </c>
      <c r="D13" t="s">
        <v>40</v>
      </c>
      <c r="H13" t="s">
        <v>41</v>
      </c>
    </row>
    <row r="14" spans="1:15" x14ac:dyDescent="0.3">
      <c r="A14" s="4" t="s">
        <v>32</v>
      </c>
      <c r="B14" t="str">
        <f>TRIM(A14)</f>
        <v>Damini</v>
      </c>
      <c r="C14" t="str">
        <f>UPPER(TRIM(E2))</f>
        <v>DAMINI</v>
      </c>
      <c r="D14">
        <f>LEN(A14)</f>
        <v>10</v>
      </c>
      <c r="E14">
        <f>LEN(B14)</f>
        <v>6</v>
      </c>
      <c r="H14">
        <f>FIND("Vinay",H2)</f>
        <v>8</v>
      </c>
    </row>
    <row r="15" spans="1:15" x14ac:dyDescent="0.3">
      <c r="A15" s="4" t="s">
        <v>33</v>
      </c>
      <c r="B15" t="str">
        <f t="shared" ref="B15:B19" si="11">TRIM(A15)</f>
        <v>George</v>
      </c>
      <c r="C15" t="str">
        <f>UPPER(TRIM(E3))</f>
        <v>GEORGE</v>
      </c>
      <c r="D15">
        <f t="shared" ref="D15:D19" si="12">LEN(A15)</f>
        <v>24</v>
      </c>
      <c r="E15">
        <f t="shared" ref="E15:E19" si="13">LEN(B15)</f>
        <v>6</v>
      </c>
    </row>
    <row r="16" spans="1:15" x14ac:dyDescent="0.3">
      <c r="A16" s="4" t="s">
        <v>34</v>
      </c>
      <c r="B16" t="str">
        <f t="shared" si="11"/>
        <v>Firoz</v>
      </c>
      <c r="C16" t="str">
        <f t="shared" ref="C15:C19" si="14">UPPER(TRIM(E4))</f>
        <v>FIROZ</v>
      </c>
      <c r="D16">
        <f t="shared" si="12"/>
        <v>22</v>
      </c>
      <c r="E16">
        <f t="shared" si="13"/>
        <v>5</v>
      </c>
    </row>
    <row r="17" spans="1:5" x14ac:dyDescent="0.3">
      <c r="A17" s="4" t="s">
        <v>35</v>
      </c>
      <c r="B17" t="str">
        <f t="shared" si="11"/>
        <v>jinal</v>
      </c>
      <c r="C17" t="str">
        <f t="shared" si="14"/>
        <v>JINAL</v>
      </c>
      <c r="D17">
        <f t="shared" si="12"/>
        <v>11</v>
      </c>
      <c r="E17">
        <f t="shared" si="13"/>
        <v>5</v>
      </c>
    </row>
    <row r="18" spans="1:5" x14ac:dyDescent="0.3">
      <c r="A18" s="4" t="s">
        <v>36</v>
      </c>
      <c r="B18" t="str">
        <f t="shared" si="11"/>
        <v>Ketan</v>
      </c>
      <c r="C18" t="str">
        <f t="shared" si="14"/>
        <v>KETAN</v>
      </c>
      <c r="D18">
        <f t="shared" si="12"/>
        <v>15</v>
      </c>
      <c r="E18">
        <f t="shared" si="13"/>
        <v>5</v>
      </c>
    </row>
    <row r="19" spans="1:5" x14ac:dyDescent="0.3">
      <c r="A19" s="4" t="s">
        <v>37</v>
      </c>
      <c r="B19" t="str">
        <f t="shared" si="11"/>
        <v>Shina</v>
      </c>
      <c r="C19" t="str">
        <f t="shared" si="14"/>
        <v>SHINA</v>
      </c>
      <c r="D19">
        <f t="shared" si="12"/>
        <v>27</v>
      </c>
      <c r="E19">
        <f t="shared" si="13"/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workbookViewId="0">
      <selection activeCell="J3" sqref="J3"/>
    </sheetView>
  </sheetViews>
  <sheetFormatPr defaultRowHeight="14.4" x14ac:dyDescent="0.3"/>
  <cols>
    <col min="1" max="1" width="12.44140625" bestFit="1" customWidth="1"/>
    <col min="5" max="5" width="10.33203125" bestFit="1" customWidth="1"/>
    <col min="6" max="6" width="15.44140625" bestFit="1" customWidth="1"/>
    <col min="7" max="7" width="10.33203125" bestFit="1" customWidth="1"/>
  </cols>
  <sheetData>
    <row r="1" spans="1:13" x14ac:dyDescent="0.3">
      <c r="M1" s="1"/>
    </row>
    <row r="2" spans="1:13" x14ac:dyDescent="0.3"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M2" s="1"/>
    </row>
    <row r="3" spans="1:13" x14ac:dyDescent="0.3">
      <c r="A3" s="1">
        <f ca="1">TODAY()</f>
        <v>46062</v>
      </c>
      <c r="B3" s="3">
        <f ca="1">DAY(A3)</f>
        <v>9</v>
      </c>
      <c r="C3" s="3">
        <f ca="1">MONTH(A3)</f>
        <v>2</v>
      </c>
      <c r="D3" s="3">
        <f ca="1">YEAR(A3)</f>
        <v>2026</v>
      </c>
      <c r="E3" s="5">
        <f ca="1">EOMONTH(A3,2)</f>
        <v>46142</v>
      </c>
      <c r="F3" s="2">
        <f ca="1">NOW()</f>
        <v>46062.835818981483</v>
      </c>
      <c r="G3" s="1">
        <f ca="1">TODAY()</f>
        <v>46062</v>
      </c>
      <c r="H3">
        <f ca="1">DATEDIF(A4,A3,"y")</f>
        <v>3</v>
      </c>
      <c r="M3" s="1"/>
    </row>
    <row r="4" spans="1:13" x14ac:dyDescent="0.3">
      <c r="A4" s="1">
        <v>44954</v>
      </c>
      <c r="B4" s="3">
        <f>DAY(A4)</f>
        <v>28</v>
      </c>
      <c r="C4" s="3">
        <f>MONTH(A4)</f>
        <v>1</v>
      </c>
      <c r="D4" s="3">
        <f>YEAR(A4)</f>
        <v>2023</v>
      </c>
      <c r="E4" s="5">
        <f>EOMONTH(A4,2)</f>
        <v>45016</v>
      </c>
      <c r="F4" s="2"/>
      <c r="H4">
        <f ca="1">DATEDIF(A4,A3,"m")</f>
        <v>36</v>
      </c>
      <c r="M4" s="1"/>
    </row>
    <row r="5" spans="1:13" x14ac:dyDescent="0.3">
      <c r="H5">
        <f ca="1">DATEDIF(A4,A3,"d")</f>
        <v>1108</v>
      </c>
      <c r="M5" s="1"/>
    </row>
    <row r="6" spans="1:13" x14ac:dyDescent="0.3">
      <c r="M6" s="1"/>
    </row>
    <row r="7" spans="1:13" x14ac:dyDescent="0.3">
      <c r="M7" s="1"/>
    </row>
    <row r="8" spans="1:13" x14ac:dyDescent="0.3">
      <c r="M8" s="1"/>
    </row>
    <row r="9" spans="1:13" x14ac:dyDescent="0.3">
      <c r="M9" s="1"/>
    </row>
    <row r="10" spans="1:13" x14ac:dyDescent="0.3">
      <c r="M10" s="1"/>
    </row>
    <row r="11" spans="1:13" x14ac:dyDescent="0.3">
      <c r="M11" s="1"/>
    </row>
    <row r="12" spans="1:13" x14ac:dyDescent="0.3">
      <c r="M12" s="1"/>
    </row>
    <row r="13" spans="1:13" x14ac:dyDescent="0.3">
      <c r="M13" s="1"/>
    </row>
    <row r="14" spans="1:13" x14ac:dyDescent="0.3">
      <c r="M14" s="1"/>
    </row>
    <row r="15" spans="1:13" x14ac:dyDescent="0.3">
      <c r="M15" s="1"/>
    </row>
    <row r="16" spans="1:13" x14ac:dyDescent="0.3">
      <c r="M16" s="1"/>
    </row>
    <row r="17" spans="13:13" x14ac:dyDescent="0.3">
      <c r="M17" s="1"/>
    </row>
    <row r="18" spans="13:13" x14ac:dyDescent="0.3">
      <c r="M18" s="1"/>
    </row>
    <row r="19" spans="13:13" x14ac:dyDescent="0.3">
      <c r="M19" s="1"/>
    </row>
    <row r="20" spans="13:13" x14ac:dyDescent="0.3">
      <c r="M20" s="1"/>
    </row>
    <row r="21" spans="13:13" x14ac:dyDescent="0.3">
      <c r="M21" s="1"/>
    </row>
    <row r="22" spans="13:13" x14ac:dyDescent="0.3">
      <c r="M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 functions</vt:lpstr>
      <vt:lpstr>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solanki</dc:creator>
  <cp:lastModifiedBy>Prajwal Kumbhar</cp:lastModifiedBy>
  <dcterms:created xsi:type="dcterms:W3CDTF">2023-12-21T08:32:24Z</dcterms:created>
  <dcterms:modified xsi:type="dcterms:W3CDTF">2026-02-09T14:33:34Z</dcterms:modified>
</cp:coreProperties>
</file>