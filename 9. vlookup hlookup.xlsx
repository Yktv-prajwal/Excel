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a5881142b36ba0d/Desktop/ITVedant Excel/"/>
    </mc:Choice>
  </mc:AlternateContent>
  <xr:revisionPtr revIDLastSave="166" documentId="11_2B5832478EAFAAEB2BBB69A5865735519E24ED72" xr6:coauthVersionLast="47" xr6:coauthVersionMax="47" xr10:uidLastSave="{36F6C99E-DDB1-4BDE-9314-9D018AE4E96E}"/>
  <bookViews>
    <workbookView xWindow="-108" yWindow="-108" windowWidth="23256" windowHeight="13176" activeTab="1" xr2:uid="{00000000-000D-0000-FFFF-FFFF00000000}"/>
  </bookViews>
  <sheets>
    <sheet name="vlookup" sheetId="1" r:id="rId1"/>
    <sheet name="hlookup" sheetId="4" r:id="rId2"/>
    <sheet name="Invoice" sheetId="6" r:id="rId3"/>
    <sheet name="EX1" sheetId="5" r:id="rId4"/>
    <sheet name="Data" sheetId="7" r:id="rId5"/>
    <sheet name="Vendor" sheetId="8" r:id="rId6"/>
    <sheet name="Jan" sheetId="9" r:id="rId7"/>
    <sheet name="Feb" sheetId="10" r:id="rId8"/>
    <sheet name="Mar" sheetId="11" r:id="rId9"/>
    <sheet name="Apr" sheetId="12" r:id="rId10"/>
    <sheet name="xlookup" sheetId="13" r:id="rId11"/>
  </sheets>
  <externalReferences>
    <externalReference r:id="rId12"/>
  </externalReferences>
  <definedNames>
    <definedName name="BasePrices">'EX1'!$C$7:$D$17</definedName>
    <definedName name="_xlnm.Database">Data!$A$2:$H$25</definedName>
    <definedName name="Destination">'EX1'!$K$6</definedName>
    <definedName name="Multipliers">'EX1'!$F$7:$G$11</definedName>
    <definedName name="_xlnm.Print_Area" localSheetId="2">Invoice!$B$2:$F$21</definedName>
    <definedName name="Type">'EX1'!$K$7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4" l="1"/>
  <c r="G15" i="4"/>
  <c r="C4" i="8"/>
  <c r="L1" i="13"/>
  <c r="D17" i="8"/>
  <c r="E17" i="8"/>
  <c r="F17" i="8"/>
  <c r="G17" i="8"/>
  <c r="H17" i="8"/>
  <c r="D16" i="8"/>
  <c r="E16" i="8"/>
  <c r="F16" i="8"/>
  <c r="G16" i="8"/>
  <c r="H16" i="8"/>
  <c r="D15" i="8"/>
  <c r="E15" i="8"/>
  <c r="F15" i="8"/>
  <c r="G15" i="8"/>
  <c r="H15" i="8"/>
  <c r="D14" i="8"/>
  <c r="E14" i="8"/>
  <c r="F14" i="8"/>
  <c r="G14" i="8"/>
  <c r="H14" i="8"/>
  <c r="C16" i="8"/>
  <c r="C17" i="8"/>
  <c r="C15" i="8"/>
  <c r="C14" i="8"/>
  <c r="F5" i="8"/>
  <c r="F6" i="8"/>
  <c r="F7" i="8"/>
  <c r="F8" i="8"/>
  <c r="G8" i="8" s="1"/>
  <c r="E5" i="8"/>
  <c r="E6" i="8"/>
  <c r="E7" i="8"/>
  <c r="E8" i="8"/>
  <c r="D5" i="8"/>
  <c r="D6" i="8"/>
  <c r="D7" i="8"/>
  <c r="D8" i="8"/>
  <c r="F4" i="8"/>
  <c r="E4" i="8"/>
  <c r="D4" i="8"/>
  <c r="C5" i="8"/>
  <c r="C6" i="8"/>
  <c r="C7" i="8"/>
  <c r="C8" i="8"/>
  <c r="G5" i="8"/>
  <c r="G6" i="8"/>
  <c r="G7" i="8"/>
  <c r="F15" i="6"/>
  <c r="E15" i="6"/>
  <c r="D15" i="6"/>
  <c r="C15" i="6"/>
  <c r="B15" i="6"/>
  <c r="C8" i="6"/>
  <c r="F6" i="6"/>
  <c r="K10" i="5"/>
  <c r="K9" i="5"/>
  <c r="K8" i="5"/>
  <c r="H17" i="4"/>
  <c r="H18" i="4"/>
  <c r="G17" i="4"/>
  <c r="G18" i="4"/>
  <c r="F17" i="4"/>
  <c r="F18" i="4"/>
  <c r="F16" i="4"/>
  <c r="H16" i="4"/>
  <c r="H15" i="4"/>
  <c r="G16" i="4"/>
  <c r="O9" i="1"/>
  <c r="O10" i="1"/>
  <c r="O11" i="1"/>
  <c r="O8" i="1"/>
  <c r="N9" i="1"/>
  <c r="N10" i="1"/>
  <c r="N11" i="1"/>
  <c r="N8" i="1"/>
  <c r="M9" i="1"/>
  <c r="M10" i="1"/>
  <c r="M11" i="1"/>
  <c r="H9" i="12"/>
  <c r="G9" i="12"/>
  <c r="F9" i="12"/>
  <c r="E9" i="12"/>
  <c r="D9" i="12"/>
  <c r="I8" i="12"/>
  <c r="I7" i="12"/>
  <c r="I6" i="12"/>
  <c r="I5" i="12"/>
  <c r="I4" i="12"/>
  <c r="H9" i="11"/>
  <c r="G9" i="11"/>
  <c r="F9" i="11"/>
  <c r="E9" i="11"/>
  <c r="D9" i="11"/>
  <c r="I8" i="11"/>
  <c r="I7" i="11"/>
  <c r="I6" i="11"/>
  <c r="I5" i="11"/>
  <c r="I4" i="11"/>
  <c r="H9" i="10"/>
  <c r="G9" i="10"/>
  <c r="F9" i="10"/>
  <c r="E9" i="10"/>
  <c r="D9" i="10"/>
  <c r="I8" i="10"/>
  <c r="I7" i="10"/>
  <c r="I6" i="10"/>
  <c r="I5" i="10"/>
  <c r="I4" i="10"/>
  <c r="I9" i="10" s="1"/>
  <c r="H9" i="9"/>
  <c r="G9" i="9"/>
  <c r="F9" i="9"/>
  <c r="E9" i="9"/>
  <c r="D9" i="9"/>
  <c r="I8" i="9"/>
  <c r="I7" i="9"/>
  <c r="I6" i="9"/>
  <c r="I5" i="9"/>
  <c r="I4" i="9"/>
  <c r="I9" i="9" s="1"/>
  <c r="G4" i="8" l="1"/>
  <c r="I9" i="11"/>
  <c r="I9" i="12"/>
  <c r="F18" i="6"/>
  <c r="F21" i="6" s="1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</calcChain>
</file>

<file path=xl/sharedStrings.xml><?xml version="1.0" encoding="utf-8"?>
<sst xmlns="http://schemas.openxmlformats.org/spreadsheetml/2006/main" count="581" uniqueCount="116">
  <si>
    <t>Date</t>
  </si>
  <si>
    <t>Region</t>
  </si>
  <si>
    <t>Employee</t>
  </si>
  <si>
    <t>Item</t>
  </si>
  <si>
    <t>Units</t>
  </si>
  <si>
    <t>Unit Cost</t>
  </si>
  <si>
    <t>Alberta</t>
  </si>
  <si>
    <t>Sorvino</t>
  </si>
  <si>
    <t>Pencil</t>
  </si>
  <si>
    <t>Binder</t>
  </si>
  <si>
    <t>Desk</t>
  </si>
  <si>
    <t>Pen</t>
  </si>
  <si>
    <t>Thompson</t>
  </si>
  <si>
    <t>Ontario</t>
  </si>
  <si>
    <t>Gill</t>
  </si>
  <si>
    <t>Howard</t>
  </si>
  <si>
    <t>Pen Set</t>
  </si>
  <si>
    <t>Kivell</t>
  </si>
  <si>
    <t>Morgan</t>
  </si>
  <si>
    <t>Smith</t>
  </si>
  <si>
    <t>Quebec</t>
  </si>
  <si>
    <t>Anderson</t>
  </si>
  <si>
    <t>Jones</t>
  </si>
  <si>
    <t>Status</t>
  </si>
  <si>
    <t>Complete</t>
  </si>
  <si>
    <t>In Progress</t>
  </si>
  <si>
    <t>On Hold</t>
  </si>
  <si>
    <t>CompleteID</t>
  </si>
  <si>
    <t>INQUIRY</t>
  </si>
  <si>
    <t>ID</t>
  </si>
  <si>
    <t>Reykjavik</t>
  </si>
  <si>
    <t>Thailand</t>
  </si>
  <si>
    <t>Geneva</t>
  </si>
  <si>
    <t>Amsterdam</t>
  </si>
  <si>
    <t>Sydney</t>
  </si>
  <si>
    <t>Tokyo</t>
  </si>
  <si>
    <t>Hedonistic</t>
  </si>
  <si>
    <t>London</t>
  </si>
  <si>
    <t>Total</t>
  </si>
  <si>
    <t>Opulent</t>
  </si>
  <si>
    <t>Paris</t>
  </si>
  <si>
    <t>Multiplier</t>
  </si>
  <si>
    <t>Luxury</t>
  </si>
  <si>
    <t>Kenya</t>
  </si>
  <si>
    <t>Base Price</t>
  </si>
  <si>
    <t>Standard</t>
  </si>
  <si>
    <t>Florida</t>
  </si>
  <si>
    <t>Budget</t>
  </si>
  <si>
    <t>Holiday Type</t>
  </si>
  <si>
    <t>Barbados</t>
  </si>
  <si>
    <t>Destination</t>
  </si>
  <si>
    <t>% Multiplier</t>
  </si>
  <si>
    <t>Type</t>
  </si>
  <si>
    <t>Enquiry System</t>
  </si>
  <si>
    <t>Multipliers</t>
  </si>
  <si>
    <t>Base Prices</t>
  </si>
  <si>
    <t>LOOKUP TABLES</t>
  </si>
  <si>
    <t>Tax</t>
  </si>
  <si>
    <t>Desc</t>
  </si>
  <si>
    <t>Cat</t>
  </si>
  <si>
    <t>Sales Rep</t>
  </si>
  <si>
    <t>Invoice #</t>
  </si>
  <si>
    <t>Invoice</t>
  </si>
  <si>
    <t>Figuring pad insert</t>
  </si>
  <si>
    <t>Office pads</t>
  </si>
  <si>
    <t>Clear plastic</t>
  </si>
  <si>
    <t>Clipboards</t>
  </si>
  <si>
    <t>Jardine</t>
  </si>
  <si>
    <t>Return labels laser</t>
  </si>
  <si>
    <t>Labels</t>
  </si>
  <si>
    <t>Card file</t>
  </si>
  <si>
    <t>Card Holders</t>
  </si>
  <si>
    <t>Brass corners rounded</t>
  </si>
  <si>
    <t>Gold</t>
  </si>
  <si>
    <t>Markers</t>
  </si>
  <si>
    <t>Dunlop</t>
  </si>
  <si>
    <t>Binding case</t>
  </si>
  <si>
    <t>Boxes</t>
  </si>
  <si>
    <t>Chan</t>
  </si>
  <si>
    <t>6-ring business card</t>
  </si>
  <si>
    <t>roundedge stick pens</t>
  </si>
  <si>
    <t>Pens</t>
  </si>
  <si>
    <t>Letter coloured</t>
  </si>
  <si>
    <t>Folders</t>
  </si>
  <si>
    <t>Legal coloured</t>
  </si>
  <si>
    <t>Brown</t>
  </si>
  <si>
    <t>Hanging File frame</t>
  </si>
  <si>
    <t>Recycled storage</t>
  </si>
  <si>
    <t>Portfolio</t>
  </si>
  <si>
    <t>Bear clip</t>
  </si>
  <si>
    <t>Memo tray refills</t>
  </si>
  <si>
    <t>2" high grade</t>
  </si>
  <si>
    <t>Parent</t>
  </si>
  <si>
    <t>1" recycled</t>
  </si>
  <si>
    <t>Aiello</t>
  </si>
  <si>
    <t>Retractable</t>
  </si>
  <si>
    <t>Gripper ball</t>
  </si>
  <si>
    <t>1" reinforced</t>
  </si>
  <si>
    <t>SalesRep</t>
  </si>
  <si>
    <t>Inv Date</t>
  </si>
  <si>
    <t>Vendor</t>
  </si>
  <si>
    <t>Jan</t>
  </si>
  <si>
    <t>Feb</t>
  </si>
  <si>
    <t>Mar</t>
  </si>
  <si>
    <t>Apr</t>
  </si>
  <si>
    <t>V101</t>
  </si>
  <si>
    <t>V102</t>
  </si>
  <si>
    <t>V103</t>
  </si>
  <si>
    <t>V104</t>
  </si>
  <si>
    <t>V105</t>
  </si>
  <si>
    <t>Week1</t>
  </si>
  <si>
    <t>Week2</t>
  </si>
  <si>
    <t>Week3</t>
  </si>
  <si>
    <t>Week5</t>
  </si>
  <si>
    <t>Week4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</si>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</sst>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[$-409]d\-mmm;@"/>
    <numFmt numFmtId="166" formatCode="yyyy/mm/dd;@"/>
    <numFmt numFmtId="167" formatCode="[$-409]d/mmm;@"/>
    <numFmt numFmtId="168" formatCode="_-&quot;£&quot;* #,##0.00_-;\-&quot;£&quot;* #,##0.00_-;_-&quot;£&quot;* &quot;-&quot;??_-;_-@_-"/>
    <numFmt numFmtId="169" formatCode="[$-409]d\-mmm\-yy;@"/>
  </numFmts>
  <fonts count="22" x14ac:knownFonts="1">
    <font>
      <sz val="11"/>
      <name val="Arial Narrow"/>
    </font>
    <font>
      <sz val="11"/>
      <color theme="1"/>
      <name val="Calibri"/>
      <family val="2"/>
      <scheme val="minor"/>
    </font>
    <font>
      <sz val="11"/>
      <name val="Arial Narrow"/>
      <family val="2"/>
    </font>
    <font>
      <b/>
      <sz val="10"/>
      <color indexed="12"/>
      <name val="Arial"/>
      <family val="2"/>
    </font>
    <font>
      <sz val="12"/>
      <name val="Arial Narrow"/>
      <family val="2"/>
    </font>
    <font>
      <sz val="10"/>
      <name val="Arial"/>
      <family val="2"/>
    </font>
    <font>
      <sz val="10"/>
      <name val="Arial"/>
      <family val="2"/>
    </font>
    <font>
      <u/>
      <sz val="11"/>
      <color indexed="12"/>
      <name val="Arial Narrow"/>
      <family val="2"/>
    </font>
    <font>
      <sz val="11"/>
      <name val="Arial Narrow"/>
      <family val="2"/>
    </font>
    <font>
      <u/>
      <sz val="12"/>
      <color indexed="12"/>
      <name val="Arial Narrow"/>
      <family val="2"/>
    </font>
    <font>
      <sz val="11"/>
      <color theme="1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color rgb="FF000000"/>
      <name val="Calibri"/>
      <family val="2"/>
    </font>
    <font>
      <sz val="9"/>
      <name val="Arial"/>
      <family val="2"/>
    </font>
    <font>
      <sz val="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0">
    <xf numFmtId="0" fontId="0" fillId="0" borderId="0"/>
    <xf numFmtId="0" fontId="11" fillId="0" borderId="0" applyNumberFormat="0" applyFill="0" applyBorder="0" applyAlignment="0" applyProtection="0">
      <alignment horizontal="left" indent="1"/>
    </xf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5" fillId="0" borderId="0"/>
    <xf numFmtId="0" fontId="10" fillId="0" borderId="0"/>
    <xf numFmtId="0" fontId="4" fillId="0" borderId="0"/>
    <xf numFmtId="0" fontId="5" fillId="0" borderId="0"/>
    <xf numFmtId="0" fontId="5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89">
    <xf numFmtId="0" fontId="0" fillId="0" borderId="0" xfId="0"/>
    <xf numFmtId="0" fontId="4" fillId="0" borderId="0" xfId="11"/>
    <xf numFmtId="0" fontId="3" fillId="0" borderId="1" xfId="11" applyFont="1" applyBorder="1" applyAlignment="1">
      <alignment horizontal="center"/>
    </xf>
    <xf numFmtId="1" fontId="3" fillId="0" borderId="1" xfId="11" applyNumberFormat="1" applyFont="1" applyBorder="1" applyAlignment="1">
      <alignment horizontal="left"/>
    </xf>
    <xf numFmtId="0" fontId="3" fillId="0" borderId="1" xfId="13" applyFont="1" applyBorder="1" applyAlignment="1">
      <alignment horizontal="left"/>
    </xf>
    <xf numFmtId="164" fontId="3" fillId="0" borderId="1" xfId="3" applyFont="1" applyFill="1" applyBorder="1" applyAlignment="1" applyProtection="1">
      <alignment horizontal="left"/>
      <protection locked="0"/>
    </xf>
    <xf numFmtId="164" fontId="3" fillId="0" borderId="1" xfId="3" applyFont="1" applyFill="1" applyBorder="1" applyAlignment="1" applyProtection="1">
      <alignment horizontal="left"/>
    </xf>
    <xf numFmtId="164" fontId="3" fillId="0" borderId="1" xfId="3" applyFont="1" applyBorder="1" applyAlignment="1" applyProtection="1">
      <alignment horizontal="left"/>
    </xf>
    <xf numFmtId="0" fontId="6" fillId="0" borderId="1" xfId="12" applyFont="1" applyBorder="1"/>
    <xf numFmtId="0" fontId="6" fillId="0" borderId="1" xfId="11" applyFont="1" applyBorder="1"/>
    <xf numFmtId="0" fontId="6" fillId="0" borderId="1" xfId="13" applyFont="1" applyBorder="1" applyAlignment="1">
      <alignment horizontal="left" vertical="top"/>
    </xf>
    <xf numFmtId="0" fontId="6" fillId="0" borderId="1" xfId="11" applyFont="1" applyBorder="1" applyProtection="1">
      <protection locked="0"/>
    </xf>
    <xf numFmtId="164" fontId="6" fillId="0" borderId="1" xfId="2" applyFont="1" applyFill="1" applyBorder="1" applyAlignment="1" applyProtection="1">
      <alignment horizontal="left" vertical="top"/>
    </xf>
    <xf numFmtId="164" fontId="6" fillId="0" borderId="1" xfId="11" applyNumberFormat="1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165" fontId="3" fillId="0" borderId="1" xfId="11" applyNumberFormat="1" applyFont="1" applyBorder="1" applyAlignment="1">
      <alignment horizontal="center"/>
    </xf>
    <xf numFmtId="165" fontId="6" fillId="0" borderId="1" xfId="11" applyNumberFormat="1" applyFont="1" applyBorder="1"/>
    <xf numFmtId="165" fontId="4" fillId="0" borderId="0" xfId="11" applyNumberFormat="1"/>
    <xf numFmtId="164" fontId="5" fillId="0" borderId="1" xfId="11" applyNumberFormat="1" applyFont="1" applyBorder="1"/>
    <xf numFmtId="167" fontId="3" fillId="0" borderId="1" xfId="11" applyNumberFormat="1" applyFont="1" applyBorder="1" applyAlignment="1">
      <alignment horizontal="center"/>
    </xf>
    <xf numFmtId="167" fontId="6" fillId="0" borderId="1" xfId="11" applyNumberFormat="1" applyFont="1" applyBorder="1"/>
    <xf numFmtId="167" fontId="0" fillId="0" borderId="0" xfId="0" applyNumberFormat="1"/>
    <xf numFmtId="0" fontId="1" fillId="0" borderId="0" xfId="14"/>
    <xf numFmtId="0" fontId="1" fillId="2" borderId="2" xfId="14" applyFill="1" applyBorder="1"/>
    <xf numFmtId="0" fontId="1" fillId="2" borderId="3" xfId="14" applyFill="1" applyBorder="1"/>
    <xf numFmtId="0" fontId="1" fillId="2" borderId="4" xfId="14" applyFill="1" applyBorder="1"/>
    <xf numFmtId="0" fontId="1" fillId="2" borderId="5" xfId="14" applyFill="1" applyBorder="1"/>
    <xf numFmtId="0" fontId="1" fillId="2" borderId="0" xfId="14" applyFill="1"/>
    <xf numFmtId="168" fontId="1" fillId="0" borderId="6" xfId="14" applyNumberFormat="1" applyBorder="1"/>
    <xf numFmtId="0" fontId="1" fillId="3" borderId="4" xfId="14" applyFill="1" applyBorder="1"/>
    <xf numFmtId="0" fontId="1" fillId="2" borderId="7" xfId="14" applyFill="1" applyBorder="1"/>
    <xf numFmtId="168" fontId="1" fillId="0" borderId="8" xfId="14" applyNumberFormat="1" applyBorder="1"/>
    <xf numFmtId="0" fontId="1" fillId="3" borderId="7" xfId="14" applyFill="1" applyBorder="1"/>
    <xf numFmtId="9" fontId="1" fillId="0" borderId="6" xfId="14" applyNumberFormat="1" applyBorder="1" applyAlignment="1">
      <alignment horizontal="center"/>
    </xf>
    <xf numFmtId="168" fontId="0" fillId="4" borderId="1" xfId="15" applyFont="1" applyFill="1" applyBorder="1"/>
    <xf numFmtId="0" fontId="1" fillId="5" borderId="6" xfId="14" applyFill="1" applyBorder="1"/>
    <xf numFmtId="9" fontId="1" fillId="0" borderId="8" xfId="14" applyNumberFormat="1" applyBorder="1" applyAlignment="1">
      <alignment horizontal="center"/>
    </xf>
    <xf numFmtId="9" fontId="0" fillId="6" borderId="1" xfId="16" applyFont="1" applyFill="1" applyBorder="1" applyAlignment="1">
      <alignment horizontal="right"/>
    </xf>
    <xf numFmtId="0" fontId="1" fillId="5" borderId="8" xfId="14" applyFill="1" applyBorder="1"/>
    <xf numFmtId="168" fontId="0" fillId="6" borderId="1" xfId="15" applyFont="1" applyFill="1" applyBorder="1" applyAlignment="1">
      <alignment horizontal="center"/>
    </xf>
    <xf numFmtId="0" fontId="1" fillId="3" borderId="1" xfId="14" applyFill="1" applyBorder="1" applyAlignment="1">
      <alignment horizontal="center"/>
    </xf>
    <xf numFmtId="0" fontId="1" fillId="5" borderId="1" xfId="14" applyFill="1" applyBorder="1" applyAlignment="1">
      <alignment horizontal="center"/>
    </xf>
    <xf numFmtId="0" fontId="1" fillId="5" borderId="9" xfId="14" applyFill="1" applyBorder="1"/>
    <xf numFmtId="0" fontId="1" fillId="5" borderId="1" xfId="14" applyFill="1" applyBorder="1"/>
    <xf numFmtId="0" fontId="1" fillId="7" borderId="10" xfId="14" applyFill="1" applyBorder="1"/>
    <xf numFmtId="0" fontId="13" fillId="7" borderId="9" xfId="14" applyFont="1" applyFill="1" applyBorder="1"/>
    <xf numFmtId="0" fontId="1" fillId="7" borderId="11" xfId="14" applyFill="1" applyBorder="1"/>
    <xf numFmtId="0" fontId="13" fillId="7" borderId="12" xfId="14" applyFont="1" applyFill="1" applyBorder="1"/>
    <xf numFmtId="0" fontId="1" fillId="2" borderId="11" xfId="14" applyFill="1" applyBorder="1"/>
    <xf numFmtId="0" fontId="1" fillId="2" borderId="13" xfId="14" applyFill="1" applyBorder="1"/>
    <xf numFmtId="0" fontId="1" fillId="2" borderId="12" xfId="14" applyFill="1" applyBorder="1"/>
    <xf numFmtId="0" fontId="14" fillId="0" borderId="0" xfId="17"/>
    <xf numFmtId="164" fontId="0" fillId="0" borderId="10" xfId="18" applyFont="1" applyBorder="1" applyAlignment="1">
      <alignment vertical="center"/>
    </xf>
    <xf numFmtId="9" fontId="0" fillId="0" borderId="10" xfId="19" applyFont="1" applyBorder="1" applyAlignment="1">
      <alignment horizontal="center" vertical="center"/>
    </xf>
    <xf numFmtId="0" fontId="14" fillId="0" borderId="9" xfId="17" applyBorder="1" applyAlignment="1">
      <alignment horizontal="center" vertical="center"/>
    </xf>
    <xf numFmtId="164" fontId="0" fillId="0" borderId="1" xfId="18" applyFont="1" applyBorder="1" applyAlignment="1">
      <alignment vertical="center"/>
    </xf>
    <xf numFmtId="0" fontId="14" fillId="0" borderId="1" xfId="17" applyBorder="1" applyAlignment="1">
      <alignment vertical="center"/>
    </xf>
    <xf numFmtId="164" fontId="15" fillId="0" borderId="1" xfId="3" applyFont="1" applyBorder="1" applyAlignment="1">
      <alignment horizontal="center"/>
    </xf>
    <xf numFmtId="0" fontId="15" fillId="0" borderId="1" xfId="13" applyFont="1" applyBorder="1" applyAlignment="1">
      <alignment horizontal="center"/>
    </xf>
    <xf numFmtId="0" fontId="16" fillId="0" borderId="1" xfId="17" applyFont="1" applyBorder="1" applyAlignment="1">
      <alignment horizontal="center"/>
    </xf>
    <xf numFmtId="0" fontId="14" fillId="0" borderId="1" xfId="17" applyBorder="1"/>
    <xf numFmtId="169" fontId="16" fillId="0" borderId="1" xfId="17" applyNumberFormat="1" applyFont="1" applyBorder="1" applyAlignment="1">
      <alignment horizontal="center"/>
    </xf>
    <xf numFmtId="0" fontId="14" fillId="0" borderId="0" xfId="17" applyAlignment="1">
      <alignment horizontal="centerContinuous"/>
    </xf>
    <xf numFmtId="0" fontId="17" fillId="0" borderId="0" xfId="17" applyFont="1" applyAlignment="1">
      <alignment horizontal="centerContinuous"/>
    </xf>
    <xf numFmtId="0" fontId="14" fillId="0" borderId="0" xfId="17" applyAlignment="1">
      <alignment horizontal="center"/>
    </xf>
    <xf numFmtId="0" fontId="18" fillId="0" borderId="0" xfId="17" applyFont="1"/>
    <xf numFmtId="14" fontId="14" fillId="0" borderId="0" xfId="17" applyNumberFormat="1"/>
    <xf numFmtId="164" fontId="18" fillId="0" borderId="0" xfId="17" applyNumberFormat="1" applyFont="1"/>
    <xf numFmtId="164" fontId="18" fillId="0" borderId="0" xfId="18" applyFont="1" applyFill="1" applyBorder="1" applyAlignment="1">
      <alignment horizontal="left" vertical="top"/>
    </xf>
    <xf numFmtId="0" fontId="18" fillId="0" borderId="0" xfId="13" applyFont="1" applyAlignment="1">
      <alignment horizontal="left" vertical="top"/>
    </xf>
    <xf numFmtId="0" fontId="18" fillId="0" borderId="0" xfId="12" applyFont="1"/>
    <xf numFmtId="14" fontId="18" fillId="0" borderId="0" xfId="17" applyNumberFormat="1" applyFont="1"/>
    <xf numFmtId="0" fontId="9" fillId="0" borderId="0" xfId="4" applyAlignment="1" applyProtection="1"/>
    <xf numFmtId="164" fontId="18" fillId="0" borderId="0" xfId="18" applyFont="1" applyFill="1" applyAlignment="1">
      <alignment horizontal="left" vertical="top"/>
    </xf>
    <xf numFmtId="0" fontId="19" fillId="0" borderId="0" xfId="17" applyFont="1" applyAlignment="1">
      <alignment horizontal="left" vertical="center" readingOrder="1"/>
    </xf>
    <xf numFmtId="0" fontId="9" fillId="0" borderId="0" xfId="4" applyAlignment="1" applyProtection="1">
      <alignment horizontal="left" vertical="center" readingOrder="1"/>
    </xf>
    <xf numFmtId="164" fontId="20" fillId="0" borderId="6" xfId="3" applyFont="1" applyFill="1" applyBorder="1" applyAlignment="1">
      <alignment horizontal="center"/>
    </xf>
    <xf numFmtId="0" fontId="20" fillId="0" borderId="6" xfId="13" applyFont="1" applyBorder="1" applyAlignment="1">
      <alignment horizontal="center"/>
    </xf>
    <xf numFmtId="1" fontId="20" fillId="0" borderId="6" xfId="17" applyNumberFormat="1" applyFont="1" applyBorder="1" applyAlignment="1">
      <alignment horizontal="center"/>
    </xf>
    <xf numFmtId="0" fontId="20" fillId="0" borderId="6" xfId="17" applyFont="1" applyBorder="1" applyAlignment="1">
      <alignment horizontal="center"/>
    </xf>
    <xf numFmtId="1" fontId="14" fillId="0" borderId="0" xfId="17" applyNumberFormat="1"/>
    <xf numFmtId="0" fontId="2" fillId="0" borderId="0" xfId="0" applyFont="1"/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1" fillId="0" borderId="1" xfId="17" applyFont="1" applyBorder="1"/>
    <xf numFmtId="0" fontId="0" fillId="0" borderId="0" xfId="0" applyAlignment="1">
      <alignment horizontal="center"/>
    </xf>
    <xf numFmtId="0" fontId="12" fillId="8" borderId="0" xfId="14" applyFont="1" applyFill="1" applyAlignment="1">
      <alignment horizontal="center"/>
    </xf>
  </cellXfs>
  <cellStyles count="20">
    <cellStyle name="Ctx_Hyperlink" xfId="1" xr:uid="{00000000-0005-0000-0000-000000000000}"/>
    <cellStyle name="Currency" xfId="2" builtinId="4"/>
    <cellStyle name="Currency 2" xfId="15" xr:uid="{00000000-0005-0000-0000-000002000000}"/>
    <cellStyle name="Currency 3" xfId="18" xr:uid="{00000000-0005-0000-0000-000003000000}"/>
    <cellStyle name="Currency_TapePivot" xfId="3" xr:uid="{00000000-0005-0000-0000-000004000000}"/>
    <cellStyle name="Hyperlink 2" xfId="4" xr:uid="{00000000-0005-0000-0000-000005000000}"/>
    <cellStyle name="Hyperlink 2 2" xfId="5" xr:uid="{00000000-0005-0000-0000-000006000000}"/>
    <cellStyle name="Normal" xfId="0" builtinId="0"/>
    <cellStyle name="Normal 2" xfId="6" xr:uid="{00000000-0005-0000-0000-000008000000}"/>
    <cellStyle name="Normal 2 2" xfId="7" xr:uid="{00000000-0005-0000-0000-000009000000}"/>
    <cellStyle name="Normal 2 3 2" xfId="8" xr:uid="{00000000-0005-0000-0000-00000A000000}"/>
    <cellStyle name="Normal 3" xfId="9" xr:uid="{00000000-0005-0000-0000-00000B000000}"/>
    <cellStyle name="Normal 4" xfId="10" xr:uid="{00000000-0005-0000-0000-00000C000000}"/>
    <cellStyle name="Normal 5" xfId="14" xr:uid="{00000000-0005-0000-0000-00000D000000}"/>
    <cellStyle name="Normal 6" xfId="17" xr:uid="{00000000-0005-0000-0000-00000E000000}"/>
    <cellStyle name="Normal_PivotSizeTest" xfId="11" xr:uid="{00000000-0005-0000-0000-00000F000000}"/>
    <cellStyle name="Normal_Sheet1" xfId="12" xr:uid="{00000000-0005-0000-0000-000010000000}"/>
    <cellStyle name="Normal_TapePivot" xfId="13" xr:uid="{00000000-0005-0000-0000-000011000000}"/>
    <cellStyle name="Percent 2" xfId="16" xr:uid="{00000000-0005-0000-0000-000012000000}"/>
    <cellStyle name="Percent 3" xfId="19" xr:uid="{00000000-0005-0000-0000-000013000000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70" formatCode="d/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ajawal\Downloads\Test+Scores.xlsx" TargetMode="External"/><Relationship Id="rId1" Type="http://schemas.openxmlformats.org/officeDocument/2006/relationships/externalLinkPath" Target="file:///C:\Users\Prajawal\Downloads\Test+Sco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North Section"/>
      <sheetName val="South Section"/>
      <sheetName val="East Section"/>
      <sheetName val="West Section"/>
    </sheetNames>
    <sheetDataSet>
      <sheetData sheetId="0"/>
      <sheetData sheetId="1">
        <row r="5">
          <cell r="A5" t="str">
            <v>Grade 7</v>
          </cell>
          <cell r="B5">
            <v>0.88869882446750714</v>
          </cell>
          <cell r="C5">
            <v>0.70581153554609632</v>
          </cell>
          <cell r="D5">
            <v>0.75910850987225298</v>
          </cell>
          <cell r="E5">
            <v>0.77855173266363509</v>
          </cell>
          <cell r="F5">
            <v>0.78304265063737288</v>
          </cell>
        </row>
        <row r="6">
          <cell r="A6" t="str">
            <v>Grade 8</v>
          </cell>
          <cell r="B6">
            <v>0.7563204003558337</v>
          </cell>
          <cell r="C6">
            <v>0.92736310223539964</v>
          </cell>
          <cell r="D6">
            <v>0.73064089771494833</v>
          </cell>
          <cell r="E6">
            <v>0.62959049599198091</v>
          </cell>
          <cell r="F6">
            <v>0.7609787240745407</v>
          </cell>
        </row>
        <row r="7">
          <cell r="A7" t="str">
            <v>Grade 9</v>
          </cell>
          <cell r="B7">
            <v>0.75727174923153329</v>
          </cell>
          <cell r="C7">
            <v>0.59024892538951712</v>
          </cell>
          <cell r="D7">
            <v>0.88550639863062686</v>
          </cell>
          <cell r="E7">
            <v>0.65750141280349061</v>
          </cell>
          <cell r="F7">
            <v>0.72263212151379208</v>
          </cell>
        </row>
        <row r="8">
          <cell r="A8" t="str">
            <v>Grade 10</v>
          </cell>
          <cell r="B8">
            <v>0.6847203210999504</v>
          </cell>
          <cell r="C8">
            <v>0.88848272969972375</v>
          </cell>
          <cell r="D8">
            <v>0.87734512469468084</v>
          </cell>
          <cell r="E8">
            <v>0.70351791253121876</v>
          </cell>
          <cell r="F8">
            <v>0.78851652200639344</v>
          </cell>
        </row>
        <row r="9">
          <cell r="A9" t="str">
            <v>Grade 11</v>
          </cell>
          <cell r="B9">
            <v>0.82055891636168843</v>
          </cell>
          <cell r="C9">
            <v>0.80299788537795069</v>
          </cell>
          <cell r="D9">
            <v>0.71853973049039421</v>
          </cell>
          <cell r="E9">
            <v>0.65007356584873599</v>
          </cell>
          <cell r="F9">
            <v>0.74804252451969222</v>
          </cell>
        </row>
        <row r="10">
          <cell r="A10" t="str">
            <v>Grade 12</v>
          </cell>
          <cell r="B10">
            <v>0.92561819718267313</v>
          </cell>
          <cell r="C10">
            <v>0.68384185191095104</v>
          </cell>
          <cell r="D10">
            <v>0.80212115856791777</v>
          </cell>
          <cell r="E10">
            <v>0.92337339755235903</v>
          </cell>
          <cell r="F10">
            <v>0.83373865130347524</v>
          </cell>
        </row>
      </sheetData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ata" displayName="tblData" ref="A1:H25" totalsRowShown="0" headerRowDxfId="10" headerRowBorderDxfId="9" tableBorderDxfId="8" headerRowCellStyle="Currency_TapePivot">
  <autoFilter ref="A1:H25" xr:uid="{00000000-0009-0000-0100-000001000000}"/>
  <tableColumns count="8">
    <tableColumn id="2" xr3:uid="{00000000-0010-0000-0000-000002000000}" name="Invoice #" dataDxfId="7"/>
    <tableColumn id="3" xr3:uid="{00000000-0010-0000-0000-000003000000}" name="Inv Date" dataDxfId="6"/>
    <tableColumn id="4" xr3:uid="{00000000-0010-0000-0000-000004000000}" name="SalesRep" dataDxfId="5" dataCellStyle="Normal_Sheet1"/>
    <tableColumn id="5" xr3:uid="{00000000-0010-0000-0000-000005000000}" name="Cat" dataDxfId="4" dataCellStyle="Normal_TapePivot"/>
    <tableColumn id="6" xr3:uid="{00000000-0010-0000-0000-000006000000}" name="Desc" dataDxfId="3" dataCellStyle="Normal_TapePivot"/>
    <tableColumn id="7" xr3:uid="{00000000-0010-0000-0000-000007000000}" name="Unit Cost" dataDxfId="2" dataCellStyle="Currency"/>
    <tableColumn id="8" xr3:uid="{00000000-0010-0000-0000-000008000000}" name="Units" dataDxfId="1"/>
    <tableColumn id="9" xr3:uid="{00000000-0010-0000-0000-000009000000}" name="Total" dataDxfId="0">
      <calculatedColumnFormula>F2*G2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0"/>
  <sheetViews>
    <sheetView workbookViewId="0">
      <selection activeCell="M8" sqref="M8"/>
    </sheetView>
  </sheetViews>
  <sheetFormatPr defaultRowHeight="15.6" x14ac:dyDescent="0.3"/>
  <cols>
    <col min="1" max="1" width="12.375" style="15" bestFit="1" customWidth="1"/>
    <col min="2" max="2" width="8" style="19" bestFit="1" customWidth="1"/>
    <col min="3" max="3" width="8.25" style="1" bestFit="1" customWidth="1"/>
    <col min="4" max="4" width="10.625" style="1" bestFit="1" customWidth="1"/>
    <col min="5" max="5" width="8.375" style="1" bestFit="1" customWidth="1"/>
    <col min="6" max="6" width="7.75" style="1" bestFit="1" customWidth="1"/>
    <col min="7" max="7" width="11.875" style="1" bestFit="1" customWidth="1"/>
    <col min="8" max="8" width="13.375" style="1" bestFit="1" customWidth="1"/>
    <col min="15" max="15" width="10" bestFit="1" customWidth="1"/>
  </cols>
  <sheetData>
    <row r="1" spans="1:15" ht="13.8" x14ac:dyDescent="0.25">
      <c r="A1" s="2" t="s">
        <v>27</v>
      </c>
      <c r="B1" s="17" t="s">
        <v>0</v>
      </c>
      <c r="C1" s="3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 t="s">
        <v>23</v>
      </c>
      <c r="I1" s="16"/>
    </row>
    <row r="2" spans="1:15" ht="13.8" x14ac:dyDescent="0.25">
      <c r="A2" s="14">
        <v>101</v>
      </c>
      <c r="B2" s="18">
        <v>39819</v>
      </c>
      <c r="C2" s="8" t="s">
        <v>20</v>
      </c>
      <c r="D2" s="9" t="s">
        <v>22</v>
      </c>
      <c r="E2" s="10" t="s">
        <v>8</v>
      </c>
      <c r="F2" s="11">
        <v>95</v>
      </c>
      <c r="G2" s="12">
        <v>1.99</v>
      </c>
      <c r="H2" s="13" t="s">
        <v>24</v>
      </c>
    </row>
    <row r="3" spans="1:15" ht="13.8" x14ac:dyDescent="0.25">
      <c r="A3" s="14">
        <v>102</v>
      </c>
      <c r="B3" s="18">
        <v>39853</v>
      </c>
      <c r="C3" s="8" t="s">
        <v>13</v>
      </c>
      <c r="D3" s="8" t="s">
        <v>15</v>
      </c>
      <c r="E3" s="10" t="s">
        <v>8</v>
      </c>
      <c r="F3" s="11">
        <v>36</v>
      </c>
      <c r="G3" s="12">
        <v>4.99</v>
      </c>
      <c r="H3" s="13" t="s">
        <v>24</v>
      </c>
    </row>
    <row r="4" spans="1:15" ht="13.8" x14ac:dyDescent="0.25">
      <c r="A4" s="14">
        <v>103</v>
      </c>
      <c r="B4" s="18">
        <v>39887</v>
      </c>
      <c r="C4" s="8" t="s">
        <v>6</v>
      </c>
      <c r="D4" s="9" t="s">
        <v>7</v>
      </c>
      <c r="E4" s="10" t="s">
        <v>8</v>
      </c>
      <c r="F4" s="11">
        <v>56</v>
      </c>
      <c r="G4" s="12">
        <v>2.99</v>
      </c>
      <c r="H4" s="13" t="s">
        <v>24</v>
      </c>
    </row>
    <row r="5" spans="1:15" ht="13.8" x14ac:dyDescent="0.25">
      <c r="A5" s="14">
        <v>104</v>
      </c>
      <c r="B5" s="18">
        <v>39904</v>
      </c>
      <c r="C5" s="8" t="s">
        <v>20</v>
      </c>
      <c r="D5" s="8" t="s">
        <v>21</v>
      </c>
      <c r="E5" s="10" t="s">
        <v>9</v>
      </c>
      <c r="F5" s="11">
        <v>60</v>
      </c>
      <c r="G5" s="12">
        <v>4.99</v>
      </c>
      <c r="H5" s="13" t="s">
        <v>24</v>
      </c>
    </row>
    <row r="6" spans="1:15" ht="13.8" x14ac:dyDescent="0.25">
      <c r="A6" s="14">
        <v>105</v>
      </c>
      <c r="B6" s="18">
        <v>39938</v>
      </c>
      <c r="C6" s="8" t="s">
        <v>13</v>
      </c>
      <c r="D6" s="8" t="s">
        <v>15</v>
      </c>
      <c r="E6" s="10" t="s">
        <v>8</v>
      </c>
      <c r="F6" s="11">
        <v>90</v>
      </c>
      <c r="G6" s="12">
        <v>4.99</v>
      </c>
      <c r="H6" s="20" t="s">
        <v>24</v>
      </c>
      <c r="L6" s="87" t="s">
        <v>28</v>
      </c>
      <c r="M6" s="87"/>
      <c r="N6" s="87"/>
      <c r="O6" s="87"/>
    </row>
    <row r="7" spans="1:15" ht="13.8" x14ac:dyDescent="0.25">
      <c r="A7" s="14">
        <v>106</v>
      </c>
      <c r="B7" s="18">
        <v>39955</v>
      </c>
      <c r="C7" s="8" t="s">
        <v>6</v>
      </c>
      <c r="D7" s="8" t="s">
        <v>12</v>
      </c>
      <c r="E7" s="10" t="s">
        <v>8</v>
      </c>
      <c r="F7" s="11">
        <v>32</v>
      </c>
      <c r="G7" s="12">
        <v>1.99</v>
      </c>
      <c r="H7" s="13" t="s">
        <v>25</v>
      </c>
      <c r="L7" s="84" t="s">
        <v>29</v>
      </c>
      <c r="M7" s="84" t="s">
        <v>2</v>
      </c>
      <c r="N7" s="84" t="s">
        <v>4</v>
      </c>
      <c r="O7" s="84" t="s">
        <v>23</v>
      </c>
    </row>
    <row r="8" spans="1:15" ht="13.8" x14ac:dyDescent="0.25">
      <c r="A8" s="14">
        <v>107</v>
      </c>
      <c r="B8" s="18">
        <v>39972</v>
      </c>
      <c r="C8" s="8" t="s">
        <v>20</v>
      </c>
      <c r="D8" s="8" t="s">
        <v>22</v>
      </c>
      <c r="E8" s="10" t="s">
        <v>9</v>
      </c>
      <c r="F8" s="11">
        <v>60</v>
      </c>
      <c r="G8" s="12">
        <v>8.99</v>
      </c>
      <c r="H8" s="13" t="s">
        <v>25</v>
      </c>
      <c r="L8" s="84">
        <v>110</v>
      </c>
      <c r="M8" s="84"/>
      <c r="N8" s="84">
        <f>VLOOKUP(L8,$A$2:$H$30,6,0)</f>
        <v>35</v>
      </c>
      <c r="O8" s="84" t="str">
        <f>VLOOKUP(L8,$A$2:$H$30,8,0)</f>
        <v>On Hold</v>
      </c>
    </row>
    <row r="9" spans="1:15" ht="13.8" x14ac:dyDescent="0.25">
      <c r="A9" s="14">
        <v>108</v>
      </c>
      <c r="B9" s="18">
        <v>39989</v>
      </c>
      <c r="C9" s="8" t="s">
        <v>13</v>
      </c>
      <c r="D9" s="8" t="s">
        <v>18</v>
      </c>
      <c r="E9" s="10" t="s">
        <v>8</v>
      </c>
      <c r="F9" s="11">
        <v>90</v>
      </c>
      <c r="G9" s="12">
        <v>4.99</v>
      </c>
      <c r="H9" s="13" t="s">
        <v>25</v>
      </c>
      <c r="L9" s="84">
        <v>111</v>
      </c>
      <c r="M9" s="84" t="str">
        <f t="shared" ref="M9:M11" si="0">VLOOKUP(L9,$A$2:$H$30,4,0)</f>
        <v>Smith</v>
      </c>
      <c r="N9" s="84">
        <f t="shared" ref="N9:N11" si="1">VLOOKUP(L9,$A$2:$H$30,6,0)</f>
        <v>2</v>
      </c>
      <c r="O9" s="84" t="str">
        <f t="shared" ref="O9:O11" si="2">VLOOKUP(L9,$A$2:$H$30,8,0)</f>
        <v>In Progress</v>
      </c>
    </row>
    <row r="10" spans="1:15" ht="13.8" x14ac:dyDescent="0.25">
      <c r="A10" s="14">
        <v>109</v>
      </c>
      <c r="B10" s="18">
        <v>40006</v>
      </c>
      <c r="C10" s="8" t="s">
        <v>20</v>
      </c>
      <c r="D10" s="8" t="s">
        <v>15</v>
      </c>
      <c r="E10" s="10" t="s">
        <v>9</v>
      </c>
      <c r="F10" s="11">
        <v>29</v>
      </c>
      <c r="G10" s="12">
        <v>1.99</v>
      </c>
      <c r="H10" s="13" t="s">
        <v>25</v>
      </c>
      <c r="L10" s="84">
        <v>101</v>
      </c>
      <c r="M10" s="84" t="str">
        <f t="shared" si="0"/>
        <v>Jones</v>
      </c>
      <c r="N10" s="84">
        <f t="shared" si="1"/>
        <v>95</v>
      </c>
      <c r="O10" s="84" t="str">
        <f t="shared" si="2"/>
        <v>Complete</v>
      </c>
    </row>
    <row r="11" spans="1:15" ht="13.8" x14ac:dyDescent="0.25">
      <c r="A11" s="14">
        <v>110</v>
      </c>
      <c r="B11" s="18">
        <v>40040</v>
      </c>
      <c r="C11" s="8" t="s">
        <v>20</v>
      </c>
      <c r="D11" s="9" t="s">
        <v>22</v>
      </c>
      <c r="E11" s="10" t="s">
        <v>8</v>
      </c>
      <c r="F11" s="11">
        <v>35</v>
      </c>
      <c r="G11" s="12">
        <v>4.99</v>
      </c>
      <c r="H11" s="13" t="s">
        <v>26</v>
      </c>
      <c r="L11" s="84">
        <v>119</v>
      </c>
      <c r="M11" s="84" t="str">
        <f t="shared" si="0"/>
        <v>Howard</v>
      </c>
      <c r="N11" s="84">
        <f t="shared" si="1"/>
        <v>96</v>
      </c>
      <c r="O11" s="84" t="str">
        <f t="shared" si="2"/>
        <v>On Hold</v>
      </c>
    </row>
    <row r="12" spans="1:15" ht="13.8" x14ac:dyDescent="0.25">
      <c r="A12" s="14">
        <v>111</v>
      </c>
      <c r="B12" s="18">
        <v>40057</v>
      </c>
      <c r="C12" s="8" t="s">
        <v>13</v>
      </c>
      <c r="D12" s="9" t="s">
        <v>19</v>
      </c>
      <c r="E12" s="10" t="s">
        <v>10</v>
      </c>
      <c r="F12" s="11">
        <v>2</v>
      </c>
      <c r="G12" s="12">
        <v>125</v>
      </c>
      <c r="H12" s="13" t="s">
        <v>25</v>
      </c>
    </row>
    <row r="13" spans="1:15" ht="13.8" x14ac:dyDescent="0.25">
      <c r="A13" s="14">
        <v>112</v>
      </c>
      <c r="B13" s="18">
        <v>40074</v>
      </c>
      <c r="C13" s="8" t="s">
        <v>20</v>
      </c>
      <c r="D13" s="8" t="s">
        <v>22</v>
      </c>
      <c r="E13" s="10" t="s">
        <v>16</v>
      </c>
      <c r="F13" s="11">
        <v>16</v>
      </c>
      <c r="G13" s="12">
        <v>15.99</v>
      </c>
      <c r="H13" s="13" t="s">
        <v>24</v>
      </c>
    </row>
    <row r="14" spans="1:15" ht="13.8" x14ac:dyDescent="0.25">
      <c r="A14" s="14">
        <v>113</v>
      </c>
      <c r="B14" s="18">
        <v>40091</v>
      </c>
      <c r="C14" s="8" t="s">
        <v>13</v>
      </c>
      <c r="D14" s="8" t="s">
        <v>18</v>
      </c>
      <c r="E14" s="10" t="s">
        <v>9</v>
      </c>
      <c r="F14" s="11">
        <v>28</v>
      </c>
      <c r="G14" s="12">
        <v>8.99</v>
      </c>
      <c r="H14" s="13" t="s">
        <v>25</v>
      </c>
    </row>
    <row r="15" spans="1:15" ht="13.8" x14ac:dyDescent="0.25">
      <c r="A15" s="14">
        <v>114</v>
      </c>
      <c r="B15" s="18">
        <v>40108</v>
      </c>
      <c r="C15" s="8" t="s">
        <v>20</v>
      </c>
      <c r="D15" s="8" t="s">
        <v>22</v>
      </c>
      <c r="E15" s="10" t="s">
        <v>11</v>
      </c>
      <c r="F15" s="11">
        <v>64</v>
      </c>
      <c r="G15" s="12">
        <v>8.99</v>
      </c>
      <c r="H15" s="13" t="s">
        <v>25</v>
      </c>
    </row>
    <row r="16" spans="1:15" ht="13.8" x14ac:dyDescent="0.25">
      <c r="A16" s="14">
        <v>115</v>
      </c>
      <c r="B16" s="18">
        <v>40159</v>
      </c>
      <c r="C16" s="8" t="s">
        <v>13</v>
      </c>
      <c r="D16" s="9" t="s">
        <v>19</v>
      </c>
      <c r="E16" s="10" t="s">
        <v>8</v>
      </c>
      <c r="F16" s="11">
        <v>67</v>
      </c>
      <c r="G16" s="12">
        <v>1.29</v>
      </c>
      <c r="H16" s="13" t="s">
        <v>25</v>
      </c>
    </row>
    <row r="17" spans="1:8" ht="13.8" x14ac:dyDescent="0.25">
      <c r="A17" s="14">
        <v>116</v>
      </c>
      <c r="B17" s="18">
        <v>40210</v>
      </c>
      <c r="C17" s="9" t="s">
        <v>13</v>
      </c>
      <c r="D17" s="9" t="s">
        <v>19</v>
      </c>
      <c r="E17" s="10" t="s">
        <v>9</v>
      </c>
      <c r="F17" s="11">
        <v>87</v>
      </c>
      <c r="G17" s="12">
        <v>15</v>
      </c>
      <c r="H17" s="13" t="s">
        <v>26</v>
      </c>
    </row>
    <row r="18" spans="1:8" ht="13.8" x14ac:dyDescent="0.25">
      <c r="A18" s="14">
        <v>117</v>
      </c>
      <c r="B18" s="18">
        <v>40244</v>
      </c>
      <c r="C18" s="8" t="s">
        <v>6</v>
      </c>
      <c r="D18" s="9" t="s">
        <v>7</v>
      </c>
      <c r="E18" s="10" t="s">
        <v>9</v>
      </c>
      <c r="F18" s="11">
        <v>7</v>
      </c>
      <c r="G18" s="12">
        <v>19.989999999999998</v>
      </c>
      <c r="H18" s="13" t="s">
        <v>25</v>
      </c>
    </row>
    <row r="19" spans="1:8" ht="13.8" x14ac:dyDescent="0.25">
      <c r="A19" s="14">
        <v>118</v>
      </c>
      <c r="B19" s="18">
        <v>40261</v>
      </c>
      <c r="C19" s="8" t="s">
        <v>13</v>
      </c>
      <c r="D19" s="8" t="s">
        <v>15</v>
      </c>
      <c r="E19" s="10" t="s">
        <v>16</v>
      </c>
      <c r="F19" s="11">
        <v>50</v>
      </c>
      <c r="G19" s="12">
        <v>4.99</v>
      </c>
      <c r="H19" s="13" t="s">
        <v>25</v>
      </c>
    </row>
    <row r="20" spans="1:8" ht="13.8" x14ac:dyDescent="0.25">
      <c r="A20" s="14">
        <v>119</v>
      </c>
      <c r="B20" s="18">
        <v>40295</v>
      </c>
      <c r="C20" s="8" t="s">
        <v>20</v>
      </c>
      <c r="D20" s="8" t="s">
        <v>15</v>
      </c>
      <c r="E20" s="10" t="s">
        <v>11</v>
      </c>
      <c r="F20" s="11">
        <v>96</v>
      </c>
      <c r="G20" s="12">
        <v>4.99</v>
      </c>
      <c r="H20" s="13" t="s">
        <v>26</v>
      </c>
    </row>
    <row r="21" spans="1:8" ht="13.8" x14ac:dyDescent="0.25">
      <c r="A21" s="14">
        <v>120</v>
      </c>
      <c r="B21" s="18">
        <v>40312</v>
      </c>
      <c r="C21" s="9" t="s">
        <v>13</v>
      </c>
      <c r="D21" s="9" t="s">
        <v>14</v>
      </c>
      <c r="E21" s="10" t="s">
        <v>8</v>
      </c>
      <c r="F21" s="11">
        <v>53</v>
      </c>
      <c r="G21" s="12">
        <v>1.29</v>
      </c>
      <c r="H21" s="13" t="s">
        <v>25</v>
      </c>
    </row>
    <row r="22" spans="1:8" ht="13.8" x14ac:dyDescent="0.25">
      <c r="A22" s="14">
        <v>121</v>
      </c>
      <c r="B22" s="18">
        <v>40329</v>
      </c>
      <c r="C22" s="9" t="s">
        <v>13</v>
      </c>
      <c r="D22" s="9" t="s">
        <v>14</v>
      </c>
      <c r="E22" s="10" t="s">
        <v>9</v>
      </c>
      <c r="F22" s="11">
        <v>80</v>
      </c>
      <c r="G22" s="12">
        <v>8.99</v>
      </c>
      <c r="H22" s="13" t="s">
        <v>25</v>
      </c>
    </row>
    <row r="23" spans="1:8" ht="13.8" x14ac:dyDescent="0.25">
      <c r="A23" s="14">
        <v>122</v>
      </c>
      <c r="B23" s="18">
        <v>40380</v>
      </c>
      <c r="C23" s="8" t="s">
        <v>13</v>
      </c>
      <c r="D23" s="8" t="s">
        <v>18</v>
      </c>
      <c r="E23" s="10" t="s">
        <v>16</v>
      </c>
      <c r="F23" s="11">
        <v>55</v>
      </c>
      <c r="G23" s="12">
        <v>12.49</v>
      </c>
      <c r="H23" s="13" t="s">
        <v>25</v>
      </c>
    </row>
    <row r="24" spans="1:8" ht="13.8" x14ac:dyDescent="0.25">
      <c r="A24" s="14">
        <v>123</v>
      </c>
      <c r="B24" s="18">
        <v>40397</v>
      </c>
      <c r="C24" s="8" t="s">
        <v>13</v>
      </c>
      <c r="D24" s="9" t="s">
        <v>17</v>
      </c>
      <c r="E24" s="10" t="s">
        <v>16</v>
      </c>
      <c r="F24" s="11">
        <v>42</v>
      </c>
      <c r="G24" s="12">
        <v>23.95</v>
      </c>
      <c r="H24" s="13" t="s">
        <v>25</v>
      </c>
    </row>
    <row r="25" spans="1:8" ht="13.8" x14ac:dyDescent="0.25">
      <c r="A25" s="14">
        <v>124</v>
      </c>
      <c r="B25" s="18">
        <v>40414</v>
      </c>
      <c r="C25" s="8" t="s">
        <v>6</v>
      </c>
      <c r="D25" s="8" t="s">
        <v>7</v>
      </c>
      <c r="E25" s="10" t="s">
        <v>10</v>
      </c>
      <c r="F25" s="11">
        <v>3</v>
      </c>
      <c r="G25" s="12">
        <v>275</v>
      </c>
      <c r="H25" s="13" t="s">
        <v>25</v>
      </c>
    </row>
    <row r="26" spans="1:8" ht="13.8" x14ac:dyDescent="0.25">
      <c r="A26" s="14">
        <v>125</v>
      </c>
      <c r="B26" s="18">
        <v>40431</v>
      </c>
      <c r="C26" s="9" t="s">
        <v>13</v>
      </c>
      <c r="D26" s="9" t="s">
        <v>14</v>
      </c>
      <c r="E26" s="10" t="s">
        <v>8</v>
      </c>
      <c r="F26" s="11">
        <v>7</v>
      </c>
      <c r="G26" s="12">
        <v>1.29</v>
      </c>
      <c r="H26" s="13" t="s">
        <v>25</v>
      </c>
    </row>
    <row r="27" spans="1:8" ht="13.8" x14ac:dyDescent="0.25">
      <c r="A27" s="14">
        <v>126</v>
      </c>
      <c r="B27" s="18">
        <v>40448</v>
      </c>
      <c r="C27" s="8" t="s">
        <v>6</v>
      </c>
      <c r="D27" s="8" t="s">
        <v>7</v>
      </c>
      <c r="E27" s="10" t="s">
        <v>11</v>
      </c>
      <c r="F27" s="11">
        <v>76</v>
      </c>
      <c r="G27" s="12">
        <v>1.99</v>
      </c>
      <c r="H27" s="13" t="s">
        <v>25</v>
      </c>
    </row>
    <row r="28" spans="1:8" ht="13.8" x14ac:dyDescent="0.25">
      <c r="A28" s="14">
        <v>127</v>
      </c>
      <c r="B28" s="18">
        <v>40465</v>
      </c>
      <c r="C28" s="8" t="s">
        <v>6</v>
      </c>
      <c r="D28" s="9" t="s">
        <v>12</v>
      </c>
      <c r="E28" s="10" t="s">
        <v>9</v>
      </c>
      <c r="F28" s="11">
        <v>57</v>
      </c>
      <c r="G28" s="12">
        <v>19.989999999999998</v>
      </c>
      <c r="H28" s="13" t="s">
        <v>25</v>
      </c>
    </row>
    <row r="29" spans="1:8" ht="13.8" x14ac:dyDescent="0.25">
      <c r="A29" s="14">
        <v>128</v>
      </c>
      <c r="B29" s="18">
        <v>40482</v>
      </c>
      <c r="C29" s="9" t="s">
        <v>13</v>
      </c>
      <c r="D29" s="9" t="s">
        <v>14</v>
      </c>
      <c r="E29" s="10" t="s">
        <v>8</v>
      </c>
      <c r="F29" s="11">
        <v>14</v>
      </c>
      <c r="G29" s="12">
        <v>1.29</v>
      </c>
      <c r="H29" s="13" t="s">
        <v>25</v>
      </c>
    </row>
    <row r="30" spans="1:8" ht="13.8" x14ac:dyDescent="0.25">
      <c r="A30" s="14">
        <v>129</v>
      </c>
      <c r="B30" s="18">
        <v>40533</v>
      </c>
      <c r="C30" s="9" t="s">
        <v>13</v>
      </c>
      <c r="D30" s="9" t="s">
        <v>14</v>
      </c>
      <c r="E30" s="10" t="s">
        <v>9</v>
      </c>
      <c r="F30" s="11">
        <v>28</v>
      </c>
      <c r="G30" s="12">
        <v>4.99</v>
      </c>
      <c r="H30" s="13" t="s">
        <v>26</v>
      </c>
    </row>
  </sheetData>
  <mergeCells count="1">
    <mergeCell ref="L6:O6"/>
  </mergeCells>
  <phoneticPr fontId="0" type="noConversion"/>
  <pageMargins left="0.75" right="0.75" top="1" bottom="1" header="0.5" footer="0.5"/>
  <pageSetup orientation="portrait" r:id="rId1"/>
  <headerFooter alignWithMargins="0">
    <oddFooter>&amp;LDeveloped by Contextures Inc.&amp;Cwww.contextures.com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D18"/>
  <sheetViews>
    <sheetView tabSelected="1" workbookViewId="0">
      <selection activeCell="F15" sqref="F15"/>
    </sheetView>
  </sheetViews>
  <sheetFormatPr defaultRowHeight="13.8" x14ac:dyDescent="0.25"/>
  <cols>
    <col min="1" max="1" width="12.375" bestFit="1" customWidth="1"/>
    <col min="2" max="30" width="10.125" bestFit="1" customWidth="1"/>
  </cols>
  <sheetData>
    <row r="1" spans="1:30" x14ac:dyDescent="0.25">
      <c r="A1" s="2" t="s">
        <v>27</v>
      </c>
      <c r="B1" s="14">
        <v>101</v>
      </c>
      <c r="C1" s="14">
        <v>102</v>
      </c>
      <c r="D1" s="14">
        <v>103</v>
      </c>
      <c r="E1" s="14">
        <v>104</v>
      </c>
      <c r="F1" s="14">
        <v>105</v>
      </c>
      <c r="G1" s="14">
        <v>106</v>
      </c>
      <c r="H1" s="14">
        <v>107</v>
      </c>
      <c r="I1" s="14">
        <v>108</v>
      </c>
      <c r="J1" s="14">
        <v>109</v>
      </c>
      <c r="K1" s="14">
        <v>110</v>
      </c>
      <c r="L1" s="14">
        <v>111</v>
      </c>
      <c r="M1" s="14">
        <v>112</v>
      </c>
      <c r="N1" s="14">
        <v>113</v>
      </c>
      <c r="O1" s="14">
        <v>114</v>
      </c>
      <c r="P1" s="14">
        <v>115</v>
      </c>
      <c r="Q1" s="14">
        <v>116</v>
      </c>
      <c r="R1" s="14">
        <v>117</v>
      </c>
      <c r="S1" s="14">
        <v>118</v>
      </c>
      <c r="T1" s="14">
        <v>119</v>
      </c>
      <c r="U1" s="14">
        <v>120</v>
      </c>
      <c r="V1" s="14">
        <v>121</v>
      </c>
      <c r="W1" s="14">
        <v>122</v>
      </c>
      <c r="X1" s="14">
        <v>123</v>
      </c>
      <c r="Y1" s="14">
        <v>124</v>
      </c>
      <c r="Z1" s="14">
        <v>125</v>
      </c>
      <c r="AA1" s="14">
        <v>126</v>
      </c>
      <c r="AB1" s="14">
        <v>127</v>
      </c>
      <c r="AC1" s="14">
        <v>128</v>
      </c>
      <c r="AD1" s="14">
        <v>129</v>
      </c>
    </row>
    <row r="2" spans="1:30" s="23" customFormat="1" x14ac:dyDescent="0.25">
      <c r="A2" s="21" t="s">
        <v>0</v>
      </c>
      <c r="B2" s="22">
        <v>39819</v>
      </c>
      <c r="C2" s="22">
        <v>39853</v>
      </c>
      <c r="D2" s="22">
        <v>39887</v>
      </c>
      <c r="E2" s="22">
        <v>39904</v>
      </c>
      <c r="F2" s="22">
        <v>39938</v>
      </c>
      <c r="G2" s="22">
        <v>39955</v>
      </c>
      <c r="H2" s="22">
        <v>39972</v>
      </c>
      <c r="I2" s="22">
        <v>39989</v>
      </c>
      <c r="J2" s="22">
        <v>40006</v>
      </c>
      <c r="K2" s="22">
        <v>40040</v>
      </c>
      <c r="L2" s="22">
        <v>40057</v>
      </c>
      <c r="M2" s="22">
        <v>40074</v>
      </c>
      <c r="N2" s="22">
        <v>40091</v>
      </c>
      <c r="O2" s="22">
        <v>40108</v>
      </c>
      <c r="P2" s="22">
        <v>40159</v>
      </c>
      <c r="Q2" s="22">
        <v>40210</v>
      </c>
      <c r="R2" s="22">
        <v>40244</v>
      </c>
      <c r="S2" s="22">
        <v>40261</v>
      </c>
      <c r="T2" s="22">
        <v>40295</v>
      </c>
      <c r="U2" s="22">
        <v>40312</v>
      </c>
      <c r="V2" s="22">
        <v>40329</v>
      </c>
      <c r="W2" s="22">
        <v>40380</v>
      </c>
      <c r="X2" s="22">
        <v>40397</v>
      </c>
      <c r="Y2" s="22">
        <v>40414</v>
      </c>
      <c r="Z2" s="22">
        <v>40431</v>
      </c>
      <c r="AA2" s="22">
        <v>40448</v>
      </c>
      <c r="AB2" s="22">
        <v>40465</v>
      </c>
      <c r="AC2" s="22">
        <v>40482</v>
      </c>
      <c r="AD2" s="22">
        <v>40533</v>
      </c>
    </row>
    <row r="3" spans="1:30" x14ac:dyDescent="0.25">
      <c r="A3" s="3" t="s">
        <v>1</v>
      </c>
      <c r="B3" s="8" t="s">
        <v>20</v>
      </c>
      <c r="C3" s="8" t="s">
        <v>13</v>
      </c>
      <c r="D3" s="8" t="s">
        <v>6</v>
      </c>
      <c r="E3" s="8" t="s">
        <v>20</v>
      </c>
      <c r="F3" s="8" t="s">
        <v>13</v>
      </c>
      <c r="G3" s="8" t="s">
        <v>6</v>
      </c>
      <c r="H3" s="8" t="s">
        <v>20</v>
      </c>
      <c r="I3" s="8" t="s">
        <v>13</v>
      </c>
      <c r="J3" s="8" t="s">
        <v>20</v>
      </c>
      <c r="K3" s="8" t="s">
        <v>20</v>
      </c>
      <c r="L3" s="8" t="s">
        <v>13</v>
      </c>
      <c r="M3" s="8" t="s">
        <v>20</v>
      </c>
      <c r="N3" s="8" t="s">
        <v>13</v>
      </c>
      <c r="O3" s="8" t="s">
        <v>20</v>
      </c>
      <c r="P3" s="8" t="s">
        <v>13</v>
      </c>
      <c r="Q3" s="9" t="s">
        <v>13</v>
      </c>
      <c r="R3" s="8" t="s">
        <v>6</v>
      </c>
      <c r="S3" s="8" t="s">
        <v>13</v>
      </c>
      <c r="T3" s="8" t="s">
        <v>20</v>
      </c>
      <c r="U3" s="9" t="s">
        <v>13</v>
      </c>
      <c r="V3" s="9" t="s">
        <v>13</v>
      </c>
      <c r="W3" s="8" t="s">
        <v>13</v>
      </c>
      <c r="X3" s="8" t="s">
        <v>13</v>
      </c>
      <c r="Y3" s="8" t="s">
        <v>6</v>
      </c>
      <c r="Z3" s="9" t="s">
        <v>13</v>
      </c>
      <c r="AA3" s="8" t="s">
        <v>6</v>
      </c>
      <c r="AB3" s="8" t="s">
        <v>6</v>
      </c>
      <c r="AC3" s="9" t="s">
        <v>13</v>
      </c>
      <c r="AD3" s="9" t="s">
        <v>13</v>
      </c>
    </row>
    <row r="4" spans="1:30" x14ac:dyDescent="0.25">
      <c r="A4" s="3" t="s">
        <v>2</v>
      </c>
      <c r="B4" s="9" t="s">
        <v>22</v>
      </c>
      <c r="C4" s="8" t="s">
        <v>15</v>
      </c>
      <c r="D4" s="9" t="s">
        <v>7</v>
      </c>
      <c r="E4" s="8" t="s">
        <v>21</v>
      </c>
      <c r="F4" s="8" t="s">
        <v>15</v>
      </c>
      <c r="G4" s="8" t="s">
        <v>12</v>
      </c>
      <c r="H4" s="8" t="s">
        <v>22</v>
      </c>
      <c r="I4" s="8" t="s">
        <v>18</v>
      </c>
      <c r="J4" s="8" t="s">
        <v>15</v>
      </c>
      <c r="K4" s="9" t="s">
        <v>22</v>
      </c>
      <c r="L4" s="9" t="s">
        <v>19</v>
      </c>
      <c r="M4" s="8" t="s">
        <v>22</v>
      </c>
      <c r="N4" s="8" t="s">
        <v>18</v>
      </c>
      <c r="O4" s="8" t="s">
        <v>22</v>
      </c>
      <c r="P4" s="9" t="s">
        <v>19</v>
      </c>
      <c r="Q4" s="9" t="s">
        <v>19</v>
      </c>
      <c r="R4" s="9" t="s">
        <v>7</v>
      </c>
      <c r="S4" s="8" t="s">
        <v>15</v>
      </c>
      <c r="T4" s="8" t="s">
        <v>15</v>
      </c>
      <c r="U4" s="9" t="s">
        <v>14</v>
      </c>
      <c r="V4" s="9" t="s">
        <v>14</v>
      </c>
      <c r="W4" s="8" t="s">
        <v>18</v>
      </c>
      <c r="X4" s="9" t="s">
        <v>17</v>
      </c>
      <c r="Y4" s="8" t="s">
        <v>7</v>
      </c>
      <c r="Z4" s="9" t="s">
        <v>14</v>
      </c>
      <c r="AA4" s="8" t="s">
        <v>7</v>
      </c>
      <c r="AB4" s="9" t="s">
        <v>12</v>
      </c>
      <c r="AC4" s="9" t="s">
        <v>14</v>
      </c>
      <c r="AD4" s="9" t="s">
        <v>14</v>
      </c>
    </row>
    <row r="5" spans="1:30" x14ac:dyDescent="0.25">
      <c r="A5" s="4" t="s">
        <v>3</v>
      </c>
      <c r="B5" s="10" t="s">
        <v>8</v>
      </c>
      <c r="C5" s="10" t="s">
        <v>8</v>
      </c>
      <c r="D5" s="10" t="s">
        <v>8</v>
      </c>
      <c r="E5" s="10" t="s">
        <v>9</v>
      </c>
      <c r="F5" s="10" t="s">
        <v>8</v>
      </c>
      <c r="G5" s="10" t="s">
        <v>8</v>
      </c>
      <c r="H5" s="10" t="s">
        <v>9</v>
      </c>
      <c r="I5" s="10" t="s">
        <v>8</v>
      </c>
      <c r="J5" s="10" t="s">
        <v>9</v>
      </c>
      <c r="K5" s="10" t="s">
        <v>8</v>
      </c>
      <c r="L5" s="10" t="s">
        <v>10</v>
      </c>
      <c r="M5" s="10" t="s">
        <v>16</v>
      </c>
      <c r="N5" s="10" t="s">
        <v>9</v>
      </c>
      <c r="O5" s="10" t="s">
        <v>11</v>
      </c>
      <c r="P5" s="10" t="s">
        <v>8</v>
      </c>
      <c r="Q5" s="10" t="s">
        <v>9</v>
      </c>
      <c r="R5" s="10" t="s">
        <v>9</v>
      </c>
      <c r="S5" s="10" t="s">
        <v>16</v>
      </c>
      <c r="T5" s="10" t="s">
        <v>11</v>
      </c>
      <c r="U5" s="10" t="s">
        <v>8</v>
      </c>
      <c r="V5" s="10" t="s">
        <v>9</v>
      </c>
      <c r="W5" s="10" t="s">
        <v>16</v>
      </c>
      <c r="X5" s="10" t="s">
        <v>16</v>
      </c>
      <c r="Y5" s="10" t="s">
        <v>10</v>
      </c>
      <c r="Z5" s="10" t="s">
        <v>8</v>
      </c>
      <c r="AA5" s="10" t="s">
        <v>11</v>
      </c>
      <c r="AB5" s="10" t="s">
        <v>9</v>
      </c>
      <c r="AC5" s="10" t="s">
        <v>8</v>
      </c>
      <c r="AD5" s="10" t="s">
        <v>9</v>
      </c>
    </row>
    <row r="6" spans="1:30" x14ac:dyDescent="0.25">
      <c r="A6" s="5" t="s">
        <v>4</v>
      </c>
      <c r="B6" s="11">
        <v>95</v>
      </c>
      <c r="C6" s="11">
        <v>36</v>
      </c>
      <c r="D6" s="11">
        <v>56</v>
      </c>
      <c r="E6" s="11">
        <v>60</v>
      </c>
      <c r="F6" s="11">
        <v>90</v>
      </c>
      <c r="G6" s="11">
        <v>32</v>
      </c>
      <c r="H6" s="11">
        <v>60</v>
      </c>
      <c r="I6" s="11">
        <v>90</v>
      </c>
      <c r="J6" s="11">
        <v>29</v>
      </c>
      <c r="K6" s="11">
        <v>35</v>
      </c>
      <c r="L6" s="11">
        <v>2</v>
      </c>
      <c r="M6" s="11">
        <v>16</v>
      </c>
      <c r="N6" s="11">
        <v>28</v>
      </c>
      <c r="O6" s="11">
        <v>64</v>
      </c>
      <c r="P6" s="11">
        <v>67</v>
      </c>
      <c r="Q6" s="11">
        <v>87</v>
      </c>
      <c r="R6" s="11">
        <v>7</v>
      </c>
      <c r="S6" s="11">
        <v>50</v>
      </c>
      <c r="T6" s="11">
        <v>96</v>
      </c>
      <c r="U6" s="11">
        <v>53</v>
      </c>
      <c r="V6" s="11">
        <v>80</v>
      </c>
      <c r="W6" s="11">
        <v>55</v>
      </c>
      <c r="X6" s="11">
        <v>42</v>
      </c>
      <c r="Y6" s="11">
        <v>3</v>
      </c>
      <c r="Z6" s="11">
        <v>7</v>
      </c>
      <c r="AA6" s="11">
        <v>76</v>
      </c>
      <c r="AB6" s="11">
        <v>57</v>
      </c>
      <c r="AC6" s="11">
        <v>14</v>
      </c>
      <c r="AD6" s="11">
        <v>28</v>
      </c>
    </row>
    <row r="7" spans="1:30" x14ac:dyDescent="0.25">
      <c r="A7" s="6" t="s">
        <v>5</v>
      </c>
      <c r="B7" s="12">
        <v>1.99</v>
      </c>
      <c r="C7" s="12">
        <v>4.99</v>
      </c>
      <c r="D7" s="12">
        <v>2.99</v>
      </c>
      <c r="E7" s="12">
        <v>4.99</v>
      </c>
      <c r="F7" s="12">
        <v>4.99</v>
      </c>
      <c r="G7" s="12">
        <v>1.99</v>
      </c>
      <c r="H7" s="12">
        <v>8.99</v>
      </c>
      <c r="I7" s="12">
        <v>4.99</v>
      </c>
      <c r="J7" s="12">
        <v>1.99</v>
      </c>
      <c r="K7" s="12">
        <v>4.99</v>
      </c>
      <c r="L7" s="12">
        <v>125</v>
      </c>
      <c r="M7" s="12">
        <v>15.99</v>
      </c>
      <c r="N7" s="12">
        <v>8.99</v>
      </c>
      <c r="O7" s="12">
        <v>8.99</v>
      </c>
      <c r="P7" s="12">
        <v>1.29</v>
      </c>
      <c r="Q7" s="12">
        <v>15</v>
      </c>
      <c r="R7" s="12">
        <v>19.989999999999998</v>
      </c>
      <c r="S7" s="12">
        <v>4.99</v>
      </c>
      <c r="T7" s="12">
        <v>4.99</v>
      </c>
      <c r="U7" s="12">
        <v>1.29</v>
      </c>
      <c r="V7" s="12">
        <v>8.99</v>
      </c>
      <c r="W7" s="12">
        <v>12.49</v>
      </c>
      <c r="X7" s="12">
        <v>23.95</v>
      </c>
      <c r="Y7" s="12">
        <v>275</v>
      </c>
      <c r="Z7" s="12">
        <v>1.29</v>
      </c>
      <c r="AA7" s="12">
        <v>1.99</v>
      </c>
      <c r="AB7" s="12">
        <v>19.989999999999998</v>
      </c>
      <c r="AC7" s="12">
        <v>1.29</v>
      </c>
      <c r="AD7" s="12">
        <v>4.99</v>
      </c>
    </row>
    <row r="8" spans="1:30" x14ac:dyDescent="0.25">
      <c r="A8" s="7" t="s">
        <v>23</v>
      </c>
      <c r="B8" s="13" t="s">
        <v>24</v>
      </c>
      <c r="C8" s="13" t="s">
        <v>24</v>
      </c>
      <c r="D8" s="13" t="s">
        <v>24</v>
      </c>
      <c r="E8" s="13" t="s">
        <v>24</v>
      </c>
      <c r="F8" s="20" t="s">
        <v>24</v>
      </c>
      <c r="G8" s="13" t="s">
        <v>25</v>
      </c>
      <c r="H8" s="13" t="s">
        <v>25</v>
      </c>
      <c r="I8" s="13" t="s">
        <v>25</v>
      </c>
      <c r="J8" s="13" t="s">
        <v>25</v>
      </c>
      <c r="K8" s="13" t="s">
        <v>26</v>
      </c>
      <c r="L8" s="13" t="s">
        <v>25</v>
      </c>
      <c r="M8" s="13" t="s">
        <v>24</v>
      </c>
      <c r="N8" s="13" t="s">
        <v>25</v>
      </c>
      <c r="O8" s="13" t="s">
        <v>25</v>
      </c>
      <c r="P8" s="13" t="s">
        <v>25</v>
      </c>
      <c r="Q8" s="13" t="s">
        <v>26</v>
      </c>
      <c r="R8" s="13" t="s">
        <v>25</v>
      </c>
      <c r="S8" s="13" t="s">
        <v>25</v>
      </c>
      <c r="T8" s="13" t="s">
        <v>26</v>
      </c>
      <c r="U8" s="13" t="s">
        <v>25</v>
      </c>
      <c r="V8" s="13" t="s">
        <v>25</v>
      </c>
      <c r="W8" s="13" t="s">
        <v>25</v>
      </c>
      <c r="X8" s="13" t="s">
        <v>25</v>
      </c>
      <c r="Y8" s="13" t="s">
        <v>25</v>
      </c>
      <c r="Z8" s="13" t="s">
        <v>25</v>
      </c>
      <c r="AA8" s="13" t="s">
        <v>25</v>
      </c>
      <c r="AB8" s="13" t="s">
        <v>25</v>
      </c>
      <c r="AC8" s="13" t="s">
        <v>25</v>
      </c>
      <c r="AD8" s="13" t="s">
        <v>26</v>
      </c>
    </row>
    <row r="13" spans="1:30" x14ac:dyDescent="0.25">
      <c r="E13" s="87" t="s">
        <v>28</v>
      </c>
      <c r="F13" s="87"/>
      <c r="G13" s="87"/>
      <c r="H13" s="87"/>
    </row>
    <row r="14" spans="1:30" x14ac:dyDescent="0.25">
      <c r="E14" s="84" t="s">
        <v>29</v>
      </c>
      <c r="F14" s="84" t="s">
        <v>0</v>
      </c>
      <c r="G14" s="84" t="s">
        <v>3</v>
      </c>
      <c r="H14" s="84" t="s">
        <v>23</v>
      </c>
    </row>
    <row r="15" spans="1:30" x14ac:dyDescent="0.25">
      <c r="E15" s="84">
        <v>111</v>
      </c>
      <c r="F15" s="85">
        <f>HLOOKUP(E15,$B$1:$AD$8,2,0)</f>
        <v>40057</v>
      </c>
      <c r="G15" s="84" t="str">
        <f>HLOOKUP(E15,$B$1:$AD$8,5,0)</f>
        <v>Desk</v>
      </c>
      <c r="H15" s="84" t="str">
        <f>HLOOKUP(E15,$B$1:$AD$8,8,0)</f>
        <v>In Progress</v>
      </c>
    </row>
    <row r="16" spans="1:30" x14ac:dyDescent="0.25">
      <c r="E16" s="84">
        <v>128</v>
      </c>
      <c r="F16" s="85">
        <f>HLOOKUP(E16,$B$1:$AD$8,2,0)</f>
        <v>40482</v>
      </c>
      <c r="G16" s="84" t="str">
        <f>HLOOKUP(E16,$B$1:$AD$8,5,0)</f>
        <v>Pencil</v>
      </c>
      <c r="H16" s="84" t="str">
        <f>HLOOKUP(E16,$B$1:$AD$8,8,0)</f>
        <v>In Progress</v>
      </c>
    </row>
    <row r="17" spans="5:8" x14ac:dyDescent="0.25">
      <c r="E17" s="84">
        <v>119</v>
      </c>
      <c r="F17" s="85">
        <f>HLOOKUP(E17,$B$1:$AD$8,2,0)</f>
        <v>40295</v>
      </c>
      <c r="G17" s="84" t="str">
        <f t="shared" ref="G17:G18" si="0">HLOOKUP(E17,$B$1:$AD$8,5,0)</f>
        <v>Pen</v>
      </c>
      <c r="H17" s="84" t="str">
        <f t="shared" ref="H17:H18" si="1">HLOOKUP(E17,$B$1:$AD$8,8,0)</f>
        <v>On Hold</v>
      </c>
    </row>
    <row r="18" spans="5:8" x14ac:dyDescent="0.25">
      <c r="E18" s="84">
        <v>129</v>
      </c>
      <c r="F18" s="85">
        <f>HLOOKUP(E18,$B$1:$AD$8,2,0)</f>
        <v>40533</v>
      </c>
      <c r="G18" s="84" t="str">
        <f t="shared" si="0"/>
        <v>Binder</v>
      </c>
      <c r="H18" s="84" t="str">
        <f t="shared" si="1"/>
        <v>On Hold</v>
      </c>
    </row>
  </sheetData>
  <mergeCells count="1">
    <mergeCell ref="E13:H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J21"/>
  <sheetViews>
    <sheetView showGridLines="0" topLeftCell="A3" workbookViewId="0">
      <selection activeCell="C7" sqref="C7"/>
    </sheetView>
  </sheetViews>
  <sheetFormatPr defaultColWidth="9.125" defaultRowHeight="13.2" x14ac:dyDescent="0.25"/>
  <cols>
    <col min="1" max="1" width="5.25" style="53" customWidth="1"/>
    <col min="2" max="2" width="10.25" style="53" bestFit="1" customWidth="1"/>
    <col min="3" max="3" width="19.375" style="53" bestFit="1" customWidth="1"/>
    <col min="4" max="4" width="9.375" style="53" bestFit="1" customWidth="1"/>
    <col min="5" max="5" width="7.375" style="53" customWidth="1"/>
    <col min="6" max="6" width="11.375" style="53" customWidth="1"/>
    <col min="7" max="8" width="4.25" style="53" customWidth="1"/>
    <col min="9" max="9" width="20.875" style="53" customWidth="1"/>
    <col min="10" max="16384" width="9.125" style="53"/>
  </cols>
  <sheetData>
    <row r="1" spans="2:10" x14ac:dyDescent="0.25">
      <c r="J1" s="66"/>
    </row>
    <row r="2" spans="2:10" ht="15.6" x14ac:dyDescent="0.3">
      <c r="B2" s="65" t="s">
        <v>62</v>
      </c>
      <c r="C2" s="64"/>
      <c r="D2" s="64"/>
      <c r="E2" s="64"/>
      <c r="F2" s="64"/>
      <c r="H2" s="64"/>
      <c r="I2" s="64"/>
    </row>
    <row r="6" spans="2:10" x14ac:dyDescent="0.25">
      <c r="B6" s="62" t="s">
        <v>61</v>
      </c>
      <c r="C6" s="86">
        <v>503254</v>
      </c>
      <c r="E6" s="62" t="s">
        <v>0</v>
      </c>
      <c r="F6" s="63">
        <f>VLOOKUP(C6,_xlnm.Database,2,0)</f>
        <v>41535</v>
      </c>
    </row>
    <row r="8" spans="2:10" x14ac:dyDescent="0.25">
      <c r="B8" s="62" t="s">
        <v>60</v>
      </c>
      <c r="C8" s="61" t="str">
        <f>VLOOKUP(C6,_xlnm.Database,3,0)</f>
        <v>Morgan</v>
      </c>
    </row>
    <row r="14" spans="2:10" x14ac:dyDescent="0.25">
      <c r="B14" s="60" t="s">
        <v>59</v>
      </c>
      <c r="C14" s="60" t="s">
        <v>58</v>
      </c>
      <c r="D14" s="59" t="s">
        <v>5</v>
      </c>
      <c r="E14" s="59" t="s">
        <v>4</v>
      </c>
      <c r="F14" s="59" t="s">
        <v>38</v>
      </c>
    </row>
    <row r="15" spans="2:10" ht="21" customHeight="1" x14ac:dyDescent="0.25">
      <c r="B15" s="58" t="str">
        <f>VLOOKUP(C6,_xlnm.Database,4,0)</f>
        <v>Folders</v>
      </c>
      <c r="C15" s="58" t="str">
        <f>VLOOKUP(C6,_xlnm.Database,5,0)</f>
        <v>Legal coloured</v>
      </c>
      <c r="D15" s="58">
        <f>VLOOKUP(C6,_xlnm.Database,6,0)</f>
        <v>2.59</v>
      </c>
      <c r="E15" s="58">
        <f>VLOOKUP(C6,_xlnm.Database,7,0)</f>
        <v>17</v>
      </c>
      <c r="F15" s="57">
        <f>VLOOKUP(C6,_xlnm.Database,8,0)</f>
        <v>44.03</v>
      </c>
    </row>
    <row r="18" spans="4:6" ht="22.5" customHeight="1" x14ac:dyDescent="0.25">
      <c r="D18" s="56" t="s">
        <v>57</v>
      </c>
      <c r="E18" s="55">
        <v>0.15</v>
      </c>
      <c r="F18" s="57">
        <f>F15*E18</f>
        <v>6.6044999999999998</v>
      </c>
    </row>
    <row r="21" spans="4:6" ht="22.5" customHeight="1" x14ac:dyDescent="0.25">
      <c r="D21" s="56" t="s">
        <v>38</v>
      </c>
      <c r="E21" s="55"/>
      <c r="F21" s="54">
        <f>F15+F18</f>
        <v>50.634500000000003</v>
      </c>
    </row>
  </sheetData>
  <printOptions horizontalCentered="1"/>
  <pageMargins left="0.75" right="0.75" top="1.25" bottom="0.75" header="0.5" footer="0.5"/>
  <pageSetup orientation="portrait" r:id="rId1"/>
  <headerFooter alignWithMargins="0">
    <oddFooter>&amp;LDeveloped by Contextures Inc.&amp;Cwww.contextures.com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K18"/>
  <sheetViews>
    <sheetView workbookViewId="0">
      <selection activeCell="K11" sqref="K11"/>
    </sheetView>
  </sheetViews>
  <sheetFormatPr defaultColWidth="9.125" defaultRowHeight="14.4" x14ac:dyDescent="0.3"/>
  <cols>
    <col min="1" max="2" width="2.875" style="24" customWidth="1"/>
    <col min="3" max="3" width="12.125" style="24" customWidth="1"/>
    <col min="4" max="4" width="11.625" style="24" customWidth="1"/>
    <col min="5" max="5" width="4.25" style="24" customWidth="1"/>
    <col min="6" max="6" width="11" style="24" customWidth="1"/>
    <col min="7" max="7" width="13.625" style="24" customWidth="1"/>
    <col min="8" max="8" width="2.875" style="24" customWidth="1"/>
    <col min="9" max="9" width="9.125" style="24"/>
    <col min="10" max="10" width="12.375" style="24" customWidth="1"/>
    <col min="11" max="11" width="15" style="24" customWidth="1"/>
    <col min="12" max="16384" width="9.125" style="24"/>
  </cols>
  <sheetData>
    <row r="2" spans="2:11" x14ac:dyDescent="0.3">
      <c r="B2" s="52"/>
      <c r="C2" s="51"/>
      <c r="D2" s="51"/>
      <c r="E2" s="51"/>
      <c r="F2" s="51"/>
      <c r="G2" s="51"/>
      <c r="H2" s="50"/>
    </row>
    <row r="3" spans="2:11" x14ac:dyDescent="0.3">
      <c r="B3" s="32"/>
      <c r="C3" s="88" t="s">
        <v>56</v>
      </c>
      <c r="D3" s="88"/>
      <c r="E3" s="88"/>
      <c r="F3" s="88"/>
      <c r="G3" s="88"/>
      <c r="H3" s="28"/>
    </row>
    <row r="4" spans="2:11" x14ac:dyDescent="0.3">
      <c r="B4" s="32"/>
      <c r="C4" s="29"/>
      <c r="D4" s="29"/>
      <c r="E4" s="29"/>
      <c r="F4" s="29"/>
      <c r="G4" s="29"/>
      <c r="H4" s="28"/>
    </row>
    <row r="5" spans="2:11" x14ac:dyDescent="0.3">
      <c r="B5" s="32"/>
      <c r="C5" s="47" t="s">
        <v>55</v>
      </c>
      <c r="D5" s="46"/>
      <c r="E5" s="29"/>
      <c r="F5" s="49" t="s">
        <v>54</v>
      </c>
      <c r="G5" s="48"/>
      <c r="H5" s="28"/>
      <c r="J5" s="47" t="s">
        <v>53</v>
      </c>
      <c r="K5" s="46"/>
    </row>
    <row r="6" spans="2:11" x14ac:dyDescent="0.3">
      <c r="B6" s="32"/>
      <c r="C6" s="44" t="s">
        <v>50</v>
      </c>
      <c r="D6" s="45" t="s">
        <v>44</v>
      </c>
      <c r="E6" s="29"/>
      <c r="F6" s="44" t="s">
        <v>52</v>
      </c>
      <c r="G6" s="43" t="s">
        <v>51</v>
      </c>
      <c r="H6" s="28"/>
      <c r="J6" s="40" t="s">
        <v>50</v>
      </c>
      <c r="K6" s="42" t="s">
        <v>49</v>
      </c>
    </row>
    <row r="7" spans="2:11" x14ac:dyDescent="0.3">
      <c r="B7" s="32"/>
      <c r="C7" s="34" t="s">
        <v>49</v>
      </c>
      <c r="D7" s="33">
        <v>532</v>
      </c>
      <c r="E7" s="29"/>
      <c r="F7" s="34" t="s">
        <v>47</v>
      </c>
      <c r="G7" s="38">
        <v>1</v>
      </c>
      <c r="H7" s="28"/>
      <c r="J7" s="40" t="s">
        <v>48</v>
      </c>
      <c r="K7" s="42" t="s">
        <v>47</v>
      </c>
    </row>
    <row r="8" spans="2:11" x14ac:dyDescent="0.3">
      <c r="B8" s="32"/>
      <c r="C8" s="34" t="s">
        <v>46</v>
      </c>
      <c r="D8" s="33">
        <v>480</v>
      </c>
      <c r="E8" s="29"/>
      <c r="F8" s="34" t="s">
        <v>45</v>
      </c>
      <c r="G8" s="38">
        <v>1.2</v>
      </c>
      <c r="H8" s="28"/>
      <c r="J8" s="40" t="s">
        <v>44</v>
      </c>
      <c r="K8" s="41">
        <f>VLOOKUP(Destination,BasePrices,2,0)</f>
        <v>532</v>
      </c>
    </row>
    <row r="9" spans="2:11" x14ac:dyDescent="0.3">
      <c r="B9" s="32"/>
      <c r="C9" s="34" t="s">
        <v>43</v>
      </c>
      <c r="D9" s="33">
        <v>411</v>
      </c>
      <c r="E9" s="29"/>
      <c r="F9" s="34" t="s">
        <v>42</v>
      </c>
      <c r="G9" s="38">
        <v>1.5</v>
      </c>
      <c r="H9" s="28"/>
      <c r="J9" s="40" t="s">
        <v>41</v>
      </c>
      <c r="K9" s="39">
        <f>VLOOKUP(Type,Multipliers,2,0)</f>
        <v>1</v>
      </c>
    </row>
    <row r="10" spans="2:11" x14ac:dyDescent="0.3">
      <c r="B10" s="32"/>
      <c r="C10" s="34" t="s">
        <v>40</v>
      </c>
      <c r="D10" s="33">
        <v>550</v>
      </c>
      <c r="E10" s="29"/>
      <c r="F10" s="34" t="s">
        <v>39</v>
      </c>
      <c r="G10" s="38">
        <v>2</v>
      </c>
      <c r="H10" s="28"/>
      <c r="J10" s="37" t="s">
        <v>38</v>
      </c>
      <c r="K10" s="36">
        <f>K8*K9</f>
        <v>532</v>
      </c>
    </row>
    <row r="11" spans="2:11" x14ac:dyDescent="0.3">
      <c r="B11" s="32"/>
      <c r="C11" s="34" t="s">
        <v>37</v>
      </c>
      <c r="D11" s="33">
        <v>574</v>
      </c>
      <c r="E11" s="29"/>
      <c r="F11" s="31" t="s">
        <v>36</v>
      </c>
      <c r="G11" s="35">
        <v>3</v>
      </c>
      <c r="H11" s="28"/>
    </row>
    <row r="12" spans="2:11" x14ac:dyDescent="0.3">
      <c r="B12" s="32"/>
      <c r="C12" s="34" t="s">
        <v>35</v>
      </c>
      <c r="D12" s="33">
        <v>541</v>
      </c>
      <c r="E12" s="29"/>
      <c r="F12" s="29"/>
      <c r="G12" s="29"/>
      <c r="H12" s="28"/>
    </row>
    <row r="13" spans="2:11" x14ac:dyDescent="0.3">
      <c r="B13" s="32"/>
      <c r="C13" s="34" t="s">
        <v>34</v>
      </c>
      <c r="D13" s="33">
        <v>548</v>
      </c>
      <c r="E13" s="29"/>
      <c r="F13" s="29"/>
      <c r="G13" s="29"/>
      <c r="H13" s="28"/>
    </row>
    <row r="14" spans="2:11" x14ac:dyDescent="0.3">
      <c r="B14" s="32"/>
      <c r="C14" s="34" t="s">
        <v>33</v>
      </c>
      <c r="D14" s="33">
        <v>210</v>
      </c>
      <c r="E14" s="29"/>
      <c r="F14" s="29"/>
      <c r="G14" s="29"/>
      <c r="H14" s="28"/>
    </row>
    <row r="15" spans="2:11" x14ac:dyDescent="0.3">
      <c r="B15" s="32"/>
      <c r="C15" s="34" t="s">
        <v>32</v>
      </c>
      <c r="D15" s="33">
        <v>235</v>
      </c>
      <c r="E15" s="29"/>
      <c r="F15" s="29"/>
      <c r="G15" s="29"/>
      <c r="H15" s="28"/>
    </row>
    <row r="16" spans="2:11" x14ac:dyDescent="0.3">
      <c r="B16" s="32"/>
      <c r="C16" s="34" t="s">
        <v>31</v>
      </c>
      <c r="D16" s="33">
        <v>670</v>
      </c>
      <c r="E16" s="29"/>
      <c r="F16" s="29"/>
      <c r="G16" s="29"/>
      <c r="H16" s="28"/>
    </row>
    <row r="17" spans="2:8" x14ac:dyDescent="0.3">
      <c r="B17" s="32"/>
      <c r="C17" s="31" t="s">
        <v>30</v>
      </c>
      <c r="D17" s="30">
        <v>323</v>
      </c>
      <c r="E17" s="29"/>
      <c r="F17" s="29"/>
      <c r="G17" s="29"/>
      <c r="H17" s="28"/>
    </row>
    <row r="18" spans="2:8" x14ac:dyDescent="0.3">
      <c r="B18" s="27"/>
      <c r="C18" s="26"/>
      <c r="D18" s="26"/>
      <c r="E18" s="26"/>
      <c r="F18" s="26"/>
      <c r="G18" s="26"/>
      <c r="H18" s="25"/>
    </row>
  </sheetData>
  <mergeCells count="1">
    <mergeCell ref="C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28"/>
  <sheetViews>
    <sheetView showGridLines="0" workbookViewId="0">
      <pane ySplit="1" topLeftCell="A2" activePane="bottomLeft" state="frozen"/>
      <selection activeCell="C23" sqref="C23"/>
      <selection pane="bottomLeft" activeCell="A14" sqref="A14"/>
    </sheetView>
  </sheetViews>
  <sheetFormatPr defaultColWidth="9.125" defaultRowHeight="13.2" x14ac:dyDescent="0.25"/>
  <cols>
    <col min="1" max="1" width="13.875" style="67" bestFit="1" customWidth="1"/>
    <col min="2" max="2" width="13.25" style="67" bestFit="1" customWidth="1"/>
    <col min="3" max="3" width="14.375" style="53" bestFit="1" customWidth="1"/>
    <col min="4" max="4" width="10.25" style="53" bestFit="1" customWidth="1"/>
    <col min="5" max="5" width="17.5" style="53" bestFit="1" customWidth="1"/>
    <col min="6" max="6" width="15.375" style="53" bestFit="1" customWidth="1"/>
    <col min="7" max="7" width="11.75" style="53" bestFit="1" customWidth="1"/>
    <col min="8" max="8" width="11.625" style="53" bestFit="1" customWidth="1"/>
    <col min="9" max="9" width="5.125" style="53" customWidth="1"/>
    <col min="10" max="16384" width="9.125" style="53"/>
  </cols>
  <sheetData>
    <row r="1" spans="1:8" x14ac:dyDescent="0.25">
      <c r="A1" s="81" t="s">
        <v>61</v>
      </c>
      <c r="B1" s="81" t="s">
        <v>99</v>
      </c>
      <c r="C1" s="80" t="s">
        <v>98</v>
      </c>
      <c r="D1" s="79" t="s">
        <v>59</v>
      </c>
      <c r="E1" s="79" t="s">
        <v>58</v>
      </c>
      <c r="F1" s="78" t="s">
        <v>5</v>
      </c>
      <c r="G1" s="78" t="s">
        <v>4</v>
      </c>
      <c r="H1" s="78" t="s">
        <v>38</v>
      </c>
    </row>
    <row r="2" spans="1:8" x14ac:dyDescent="0.25">
      <c r="A2" s="67">
        <v>503241</v>
      </c>
      <c r="B2" s="73">
        <v>41518</v>
      </c>
      <c r="C2" s="72" t="s">
        <v>67</v>
      </c>
      <c r="D2" s="71" t="s">
        <v>9</v>
      </c>
      <c r="E2" s="71" t="s">
        <v>97</v>
      </c>
      <c r="F2" s="70">
        <v>19.989999999999998</v>
      </c>
      <c r="G2" s="67">
        <v>47</v>
      </c>
      <c r="H2" s="69">
        <f t="shared" ref="H2:H25" si="0">F2*G2</f>
        <v>939.53</v>
      </c>
    </row>
    <row r="3" spans="1:8" x14ac:dyDescent="0.25">
      <c r="A3" s="67">
        <v>503242</v>
      </c>
      <c r="B3" s="73">
        <v>41519</v>
      </c>
      <c r="C3" s="72" t="s">
        <v>85</v>
      </c>
      <c r="D3" s="71" t="s">
        <v>81</v>
      </c>
      <c r="E3" s="71" t="s">
        <v>96</v>
      </c>
      <c r="F3" s="70">
        <v>1.29</v>
      </c>
      <c r="G3" s="67">
        <v>79</v>
      </c>
      <c r="H3" s="69">
        <f t="shared" si="0"/>
        <v>101.91</v>
      </c>
    </row>
    <row r="4" spans="1:8" x14ac:dyDescent="0.25">
      <c r="A4" s="67">
        <v>503243</v>
      </c>
      <c r="B4" s="73">
        <v>41520</v>
      </c>
      <c r="C4" s="72" t="s">
        <v>75</v>
      </c>
      <c r="D4" s="71" t="s">
        <v>81</v>
      </c>
      <c r="E4" s="71" t="s">
        <v>95</v>
      </c>
      <c r="F4" s="70">
        <v>4.99</v>
      </c>
      <c r="G4" s="67">
        <v>20</v>
      </c>
      <c r="H4" s="69">
        <f t="shared" si="0"/>
        <v>99.800000000000011</v>
      </c>
    </row>
    <row r="5" spans="1:8" x14ac:dyDescent="0.25">
      <c r="A5" s="67">
        <v>503244</v>
      </c>
      <c r="B5" s="73">
        <v>41521</v>
      </c>
      <c r="C5" s="67" t="s">
        <v>94</v>
      </c>
      <c r="D5" s="71" t="s">
        <v>9</v>
      </c>
      <c r="E5" s="71" t="s">
        <v>93</v>
      </c>
      <c r="F5" s="70">
        <v>4.99</v>
      </c>
      <c r="G5" s="67">
        <v>100</v>
      </c>
      <c r="H5" s="69">
        <f t="shared" si="0"/>
        <v>499</v>
      </c>
    </row>
    <row r="6" spans="1:8" x14ac:dyDescent="0.25">
      <c r="A6" s="67">
        <v>503245</v>
      </c>
      <c r="B6" s="73">
        <v>41522</v>
      </c>
      <c r="C6" s="67" t="s">
        <v>92</v>
      </c>
      <c r="D6" s="71" t="s">
        <v>9</v>
      </c>
      <c r="E6" s="71" t="s">
        <v>91</v>
      </c>
      <c r="F6" s="70">
        <v>8.99</v>
      </c>
      <c r="G6" s="67">
        <v>46</v>
      </c>
      <c r="H6" s="69">
        <f t="shared" si="0"/>
        <v>413.54</v>
      </c>
    </row>
    <row r="7" spans="1:8" x14ac:dyDescent="0.25">
      <c r="A7" s="67">
        <v>503246</v>
      </c>
      <c r="B7" s="73">
        <v>41523</v>
      </c>
      <c r="C7" s="72" t="s">
        <v>75</v>
      </c>
      <c r="D7" s="71" t="s">
        <v>64</v>
      </c>
      <c r="E7" s="71" t="s">
        <v>90</v>
      </c>
      <c r="F7" s="70">
        <v>1.99</v>
      </c>
      <c r="G7" s="67">
        <v>52</v>
      </c>
      <c r="H7" s="69">
        <f t="shared" si="0"/>
        <v>103.48</v>
      </c>
    </row>
    <row r="8" spans="1:8" x14ac:dyDescent="0.25">
      <c r="A8" s="67">
        <v>503247</v>
      </c>
      <c r="B8" s="73">
        <v>41524</v>
      </c>
      <c r="C8" s="72" t="s">
        <v>67</v>
      </c>
      <c r="D8" s="71" t="s">
        <v>66</v>
      </c>
      <c r="E8" s="71" t="s">
        <v>65</v>
      </c>
      <c r="F8" s="70">
        <v>7.99</v>
      </c>
      <c r="G8" s="67">
        <v>63</v>
      </c>
      <c r="H8" s="69">
        <f t="shared" si="0"/>
        <v>503.37</v>
      </c>
    </row>
    <row r="9" spans="1:8" x14ac:dyDescent="0.25">
      <c r="A9" s="67">
        <v>503248</v>
      </c>
      <c r="B9" s="73">
        <v>41525</v>
      </c>
      <c r="C9" s="67" t="s">
        <v>14</v>
      </c>
      <c r="D9" s="71" t="s">
        <v>64</v>
      </c>
      <c r="E9" s="71" t="s">
        <v>63</v>
      </c>
      <c r="F9" s="70">
        <v>2.19</v>
      </c>
      <c r="G9" s="67">
        <v>76</v>
      </c>
      <c r="H9" s="69">
        <f t="shared" si="0"/>
        <v>166.44</v>
      </c>
    </row>
    <row r="10" spans="1:8" x14ac:dyDescent="0.25">
      <c r="A10" s="67">
        <v>503249</v>
      </c>
      <c r="B10" s="73">
        <v>41530</v>
      </c>
      <c r="C10" s="72" t="s">
        <v>17</v>
      </c>
      <c r="D10" s="71" t="s">
        <v>66</v>
      </c>
      <c r="E10" s="71" t="s">
        <v>89</v>
      </c>
      <c r="F10" s="70">
        <v>6.99</v>
      </c>
      <c r="G10" s="67">
        <v>75</v>
      </c>
      <c r="H10" s="69">
        <f t="shared" si="0"/>
        <v>524.25</v>
      </c>
    </row>
    <row r="11" spans="1:8" x14ac:dyDescent="0.25">
      <c r="A11" s="67">
        <v>503250</v>
      </c>
      <c r="B11" s="73">
        <v>41531</v>
      </c>
      <c r="C11" s="72" t="s">
        <v>78</v>
      </c>
      <c r="D11" s="71" t="s">
        <v>66</v>
      </c>
      <c r="E11" s="71" t="s">
        <v>88</v>
      </c>
      <c r="F11" s="70">
        <v>3.99</v>
      </c>
      <c r="G11" s="67">
        <v>48</v>
      </c>
      <c r="H11" s="69">
        <f t="shared" si="0"/>
        <v>191.52</v>
      </c>
    </row>
    <row r="12" spans="1:8" x14ac:dyDescent="0.25">
      <c r="A12" s="67">
        <v>503251</v>
      </c>
      <c r="B12" s="73">
        <v>41532</v>
      </c>
      <c r="C12" s="72" t="s">
        <v>17</v>
      </c>
      <c r="D12" s="71" t="s">
        <v>77</v>
      </c>
      <c r="E12" s="71" t="s">
        <v>87</v>
      </c>
      <c r="F12" s="70">
        <v>9.99</v>
      </c>
      <c r="G12" s="67">
        <v>17</v>
      </c>
      <c r="H12" s="69">
        <f t="shared" si="0"/>
        <v>169.83</v>
      </c>
    </row>
    <row r="13" spans="1:8" x14ac:dyDescent="0.25">
      <c r="A13" s="67">
        <v>503252</v>
      </c>
      <c r="B13" s="73">
        <v>41533</v>
      </c>
      <c r="C13" s="72" t="s">
        <v>85</v>
      </c>
      <c r="D13" s="71" t="s">
        <v>83</v>
      </c>
      <c r="E13" s="71" t="s">
        <v>86</v>
      </c>
      <c r="F13" s="70">
        <v>8.99</v>
      </c>
      <c r="G13" s="67">
        <v>86</v>
      </c>
      <c r="H13" s="69">
        <f t="shared" si="0"/>
        <v>773.14</v>
      </c>
    </row>
    <row r="14" spans="1:8" x14ac:dyDescent="0.25">
      <c r="A14" s="67">
        <v>503253</v>
      </c>
      <c r="B14" s="73">
        <v>41534</v>
      </c>
      <c r="C14" s="72" t="s">
        <v>85</v>
      </c>
      <c r="D14" s="71" t="s">
        <v>69</v>
      </c>
      <c r="E14" s="71" t="s">
        <v>68</v>
      </c>
      <c r="F14" s="70">
        <v>14.99</v>
      </c>
      <c r="G14" s="67">
        <v>79</v>
      </c>
      <c r="H14" s="69">
        <f t="shared" si="0"/>
        <v>1184.21</v>
      </c>
    </row>
    <row r="15" spans="1:8" x14ac:dyDescent="0.25">
      <c r="A15" s="67">
        <v>503254</v>
      </c>
      <c r="B15" s="73">
        <v>41535</v>
      </c>
      <c r="C15" s="72" t="s">
        <v>18</v>
      </c>
      <c r="D15" s="71" t="s">
        <v>83</v>
      </c>
      <c r="E15" s="71" t="s">
        <v>84</v>
      </c>
      <c r="F15" s="70">
        <v>2.59</v>
      </c>
      <c r="G15" s="67">
        <v>17</v>
      </c>
      <c r="H15" s="69">
        <f t="shared" si="0"/>
        <v>44.03</v>
      </c>
    </row>
    <row r="16" spans="1:8" x14ac:dyDescent="0.25">
      <c r="A16" s="67">
        <v>503255</v>
      </c>
      <c r="B16" s="73">
        <v>41536</v>
      </c>
      <c r="C16" s="72" t="s">
        <v>7</v>
      </c>
      <c r="D16" s="71" t="s">
        <v>83</v>
      </c>
      <c r="E16" s="71" t="s">
        <v>82</v>
      </c>
      <c r="F16" s="70">
        <v>1.99</v>
      </c>
      <c r="G16" s="67">
        <v>10</v>
      </c>
      <c r="H16" s="69">
        <f t="shared" si="0"/>
        <v>19.899999999999999</v>
      </c>
    </row>
    <row r="17" spans="1:10" x14ac:dyDescent="0.25">
      <c r="A17" s="67">
        <v>503256</v>
      </c>
      <c r="B17" s="73">
        <v>41537</v>
      </c>
      <c r="C17" s="72" t="s">
        <v>18</v>
      </c>
      <c r="D17" s="71" t="s">
        <v>81</v>
      </c>
      <c r="E17" s="71" t="s">
        <v>80</v>
      </c>
      <c r="F17" s="70">
        <v>1.2</v>
      </c>
      <c r="G17" s="67">
        <v>33</v>
      </c>
      <c r="H17" s="69">
        <f t="shared" si="0"/>
        <v>39.6</v>
      </c>
    </row>
    <row r="18" spans="1:10" x14ac:dyDescent="0.25">
      <c r="A18" s="67">
        <v>503257</v>
      </c>
      <c r="B18" s="73">
        <v>41538</v>
      </c>
      <c r="C18" s="72" t="s">
        <v>75</v>
      </c>
      <c r="D18" s="71" t="s">
        <v>71</v>
      </c>
      <c r="E18" s="71" t="s">
        <v>79</v>
      </c>
      <c r="F18" s="70">
        <v>19.989999999999998</v>
      </c>
      <c r="G18" s="67">
        <v>81</v>
      </c>
      <c r="H18" s="69">
        <f t="shared" si="0"/>
        <v>1619.1899999999998</v>
      </c>
    </row>
    <row r="19" spans="1:10" ht="13.8" x14ac:dyDescent="0.25">
      <c r="A19" s="67">
        <v>503258</v>
      </c>
      <c r="B19" s="73">
        <v>41539</v>
      </c>
      <c r="C19" s="72" t="s">
        <v>78</v>
      </c>
      <c r="D19" s="71" t="s">
        <v>77</v>
      </c>
      <c r="E19" s="71" t="s">
        <v>76</v>
      </c>
      <c r="F19" s="70">
        <v>2.09</v>
      </c>
      <c r="G19" s="67">
        <v>43</v>
      </c>
      <c r="H19" s="69">
        <f t="shared" si="0"/>
        <v>89.86999999999999</v>
      </c>
      <c r="J19" s="76"/>
    </row>
    <row r="20" spans="1:10" ht="15.6" x14ac:dyDescent="0.25">
      <c r="A20" s="67">
        <v>503259</v>
      </c>
      <c r="B20" s="73">
        <v>41540</v>
      </c>
      <c r="C20" s="72" t="s">
        <v>75</v>
      </c>
      <c r="D20" s="71" t="s">
        <v>74</v>
      </c>
      <c r="E20" s="71" t="s">
        <v>73</v>
      </c>
      <c r="F20" s="70">
        <v>4.29</v>
      </c>
      <c r="G20" s="67">
        <v>95</v>
      </c>
      <c r="H20" s="69">
        <f t="shared" si="0"/>
        <v>407.55</v>
      </c>
      <c r="J20" s="77"/>
    </row>
    <row r="21" spans="1:10" x14ac:dyDescent="0.25">
      <c r="A21" s="67">
        <v>503260</v>
      </c>
      <c r="B21" s="73">
        <v>41541</v>
      </c>
      <c r="C21" s="72" t="s">
        <v>12</v>
      </c>
      <c r="D21" s="71" t="s">
        <v>71</v>
      </c>
      <c r="E21" s="71" t="s">
        <v>72</v>
      </c>
      <c r="F21" s="70">
        <v>29.99</v>
      </c>
      <c r="G21" s="67">
        <v>106</v>
      </c>
      <c r="H21" s="69">
        <f t="shared" si="0"/>
        <v>3178.94</v>
      </c>
    </row>
    <row r="22" spans="1:10" ht="13.8" x14ac:dyDescent="0.25">
      <c r="A22" s="67">
        <v>503261</v>
      </c>
      <c r="B22" s="73">
        <v>41542</v>
      </c>
      <c r="C22" s="72" t="s">
        <v>12</v>
      </c>
      <c r="D22" s="71" t="s">
        <v>71</v>
      </c>
      <c r="E22" s="71" t="s">
        <v>70</v>
      </c>
      <c r="F22" s="70">
        <v>15.69</v>
      </c>
      <c r="G22" s="67">
        <v>33</v>
      </c>
      <c r="H22" s="69">
        <f t="shared" si="0"/>
        <v>517.77</v>
      </c>
      <c r="J22" s="76"/>
    </row>
    <row r="23" spans="1:10" ht="15.6" x14ac:dyDescent="0.3">
      <c r="A23" s="67">
        <v>503262</v>
      </c>
      <c r="B23" s="73">
        <v>41544</v>
      </c>
      <c r="C23" s="72" t="s">
        <v>18</v>
      </c>
      <c r="D23" s="71" t="s">
        <v>69</v>
      </c>
      <c r="E23" s="71" t="s">
        <v>68</v>
      </c>
      <c r="F23" s="75">
        <v>14.99</v>
      </c>
      <c r="G23" s="67">
        <v>199</v>
      </c>
      <c r="H23" s="69">
        <f t="shared" si="0"/>
        <v>2983.01</v>
      </c>
      <c r="J23" s="74"/>
    </row>
    <row r="24" spans="1:10" x14ac:dyDescent="0.25">
      <c r="A24" s="67">
        <v>503263</v>
      </c>
      <c r="B24" s="73">
        <v>41524</v>
      </c>
      <c r="C24" s="72" t="s">
        <v>67</v>
      </c>
      <c r="D24" s="71" t="s">
        <v>66</v>
      </c>
      <c r="E24" s="71" t="s">
        <v>65</v>
      </c>
      <c r="F24" s="70">
        <v>7.99</v>
      </c>
      <c r="G24" s="67">
        <v>63</v>
      </c>
      <c r="H24" s="69">
        <f t="shared" si="0"/>
        <v>503.37</v>
      </c>
    </row>
    <row r="25" spans="1:10" x14ac:dyDescent="0.25">
      <c r="A25" s="67">
        <v>503264</v>
      </c>
      <c r="B25" s="73">
        <v>41525</v>
      </c>
      <c r="C25" s="72" t="s">
        <v>14</v>
      </c>
      <c r="D25" s="71" t="s">
        <v>64</v>
      </c>
      <c r="E25" s="71" t="s">
        <v>63</v>
      </c>
      <c r="F25" s="70">
        <v>2.19</v>
      </c>
      <c r="G25" s="67">
        <v>76</v>
      </c>
      <c r="H25" s="69">
        <f t="shared" si="0"/>
        <v>166.44</v>
      </c>
    </row>
    <row r="28" spans="1:10" x14ac:dyDescent="0.25">
      <c r="E28" s="68"/>
    </row>
  </sheetData>
  <pageMargins left="0.75" right="0.75" top="0.75" bottom="0.75" header="0.5" footer="0.5"/>
  <pageSetup orientation="portrait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3:H17"/>
  <sheetViews>
    <sheetView workbookViewId="0">
      <selection activeCell="C4" sqref="C4"/>
    </sheetView>
  </sheetViews>
  <sheetFormatPr defaultColWidth="9.125" defaultRowHeight="13.2" x14ac:dyDescent="0.25"/>
  <cols>
    <col min="1" max="1" width="9.125" style="53"/>
    <col min="2" max="2" width="13.75" style="53" customWidth="1"/>
    <col min="3" max="16384" width="9.125" style="53"/>
  </cols>
  <sheetData>
    <row r="3" spans="2:8" x14ac:dyDescent="0.25">
      <c r="B3" s="53" t="s">
        <v>100</v>
      </c>
      <c r="C3" s="53" t="s">
        <v>101</v>
      </c>
      <c r="D3" s="53" t="s">
        <v>102</v>
      </c>
      <c r="E3" s="53" t="s">
        <v>103</v>
      </c>
      <c r="F3" s="53" t="s">
        <v>104</v>
      </c>
      <c r="G3" s="53" t="s">
        <v>38</v>
      </c>
    </row>
    <row r="4" spans="2:8" x14ac:dyDescent="0.25">
      <c r="B4" s="53" t="s">
        <v>105</v>
      </c>
      <c r="C4" s="53" t="e">
        <f>VLOOKUP(B4,'[1]North Section'!$A$5:$F$10,6,0)</f>
        <v>#N/A</v>
      </c>
      <c r="D4" s="82">
        <f>VLOOKUP(B4,Feb!$C$4:$I$8,7,0)</f>
        <v>14686.35</v>
      </c>
      <c r="E4" s="82">
        <f>VLOOKUP(B4,Mar!$C$4:$I$8,7,0)</f>
        <v>20685</v>
      </c>
      <c r="F4" s="82">
        <f>VLOOKUP(B4,Apr!C4:I8,7,0)</f>
        <v>5171.25</v>
      </c>
      <c r="G4" s="82" t="e">
        <f>SUM(C4:F4)</f>
        <v>#N/A</v>
      </c>
    </row>
    <row r="5" spans="2:8" x14ac:dyDescent="0.25">
      <c r="B5" s="53" t="s">
        <v>106</v>
      </c>
      <c r="C5" s="53">
        <f>VLOOKUP(B5,Jan!$C$4:$I$8,7,0)</f>
        <v>34211</v>
      </c>
      <c r="D5" s="82">
        <f>VLOOKUP(B5,Feb!$C$4:$I$8,7,0)</f>
        <v>72869.430000000008</v>
      </c>
      <c r="E5" s="82">
        <f>VLOOKUP(B5,Mar!$C$4:$I$8,7,0)</f>
        <v>102633</v>
      </c>
      <c r="F5" s="82">
        <f>VLOOKUP(B5,Apr!C5:I9,7,0)</f>
        <v>25658.25</v>
      </c>
      <c r="G5" s="82">
        <f>SUM(C5:F5)</f>
        <v>235371.68</v>
      </c>
    </row>
    <row r="6" spans="2:8" x14ac:dyDescent="0.25">
      <c r="B6" s="53" t="s">
        <v>107</v>
      </c>
      <c r="C6" s="53">
        <f>VLOOKUP(B6,Jan!$C$4:$I$8,7,0)</f>
        <v>11941</v>
      </c>
      <c r="D6" s="82">
        <f>VLOOKUP(B6,Feb!$C$4:$I$8,7,0)</f>
        <v>25434.33</v>
      </c>
      <c r="E6" s="82">
        <f>VLOOKUP(B6,Mar!$C$4:$I$8,7,0)</f>
        <v>35823</v>
      </c>
      <c r="F6" s="82">
        <f>VLOOKUP(B6,Apr!C6:I10,7,0)</f>
        <v>8955.75</v>
      </c>
      <c r="G6" s="82">
        <f>SUM(C6:F6)</f>
        <v>82154.080000000002</v>
      </c>
    </row>
    <row r="7" spans="2:8" x14ac:dyDescent="0.25">
      <c r="B7" s="53" t="s">
        <v>108</v>
      </c>
      <c r="C7" s="53">
        <f>VLOOKUP(B7,Jan!$C$4:$I$8,7,0)</f>
        <v>22801</v>
      </c>
      <c r="D7" s="82">
        <f>VLOOKUP(B7,Feb!$C$4:$I$8,7,0)</f>
        <v>48566.130000000005</v>
      </c>
      <c r="E7" s="82">
        <f>VLOOKUP(B7,Mar!$C$4:$I$8,7,0)</f>
        <v>68403</v>
      </c>
      <c r="F7" s="82">
        <f>VLOOKUP(B7,Apr!C7:I11,7,0)</f>
        <v>17100.75</v>
      </c>
      <c r="G7" s="82">
        <f>SUM(C7:F7)</f>
        <v>156870.88</v>
      </c>
    </row>
    <row r="8" spans="2:8" x14ac:dyDescent="0.25">
      <c r="B8" s="53" t="s">
        <v>109</v>
      </c>
      <c r="C8" s="53">
        <f>VLOOKUP(B8,Jan!$C$4:$I$8,7,0)</f>
        <v>37569</v>
      </c>
      <c r="D8" s="82">
        <f>VLOOKUP(B8,Feb!$C$4:$I$8,7,0)</f>
        <v>80021.97</v>
      </c>
      <c r="E8" s="82">
        <f>VLOOKUP(B8,Mar!$C$4:$I$8,7,0)</f>
        <v>112707</v>
      </c>
      <c r="F8" s="82">
        <f>VLOOKUP(B8,Apr!C8:I12,7,0)</f>
        <v>28176.75</v>
      </c>
      <c r="G8" s="82">
        <f>SUM(C8:F8)</f>
        <v>258474.72</v>
      </c>
    </row>
    <row r="13" spans="2:8" x14ac:dyDescent="0.25">
      <c r="C13" s="82" t="s">
        <v>110</v>
      </c>
      <c r="D13" s="53" t="s">
        <v>111</v>
      </c>
      <c r="E13" s="53" t="s">
        <v>112</v>
      </c>
      <c r="F13" s="53" t="s">
        <v>114</v>
      </c>
      <c r="G13" s="53" t="s">
        <v>113</v>
      </c>
      <c r="H13" s="53" t="s">
        <v>38</v>
      </c>
    </row>
    <row r="14" spans="2:8" x14ac:dyDescent="0.25">
      <c r="B14" s="53" t="s">
        <v>101</v>
      </c>
      <c r="C14" s="82">
        <f>HLOOKUP(C13,Jan!D3:I9,7,0)</f>
        <v>22972</v>
      </c>
      <c r="D14" s="82">
        <f>HLOOKUP(D13,Jan!E3:J9,7,0)</f>
        <v>27098</v>
      </c>
      <c r="E14" s="82">
        <f>HLOOKUP(E13,Jan!F3:K9,7,0)</f>
        <v>23542</v>
      </c>
      <c r="F14" s="82">
        <f>HLOOKUP(F13,Jan!G3:L9,7,0)</f>
        <v>20164</v>
      </c>
      <c r="G14" s="82">
        <f>HLOOKUP(G13,Jan!H3:M9,7,0)</f>
        <v>19641</v>
      </c>
      <c r="H14" s="82">
        <f>HLOOKUP(H13,Jan!I3:N9,7,0)</f>
        <v>113417</v>
      </c>
    </row>
    <row r="15" spans="2:8" x14ac:dyDescent="0.25">
      <c r="B15" s="53" t="s">
        <v>102</v>
      </c>
      <c r="C15" s="82">
        <f>HLOOKUP(C13,Feb!D3:I9,7,0)</f>
        <v>62434.559999999998</v>
      </c>
      <c r="D15" s="82">
        <f>HLOOKUP(D13,Feb!E3:J9,7,0)</f>
        <v>57778.38</v>
      </c>
      <c r="E15" s="82">
        <f>HLOOKUP(E13,Feb!F3:K9,7,0)</f>
        <v>47782.29</v>
      </c>
      <c r="F15" s="82">
        <f>HLOOKUP(F13,Feb!G3:L9,7,0)</f>
        <v>36333.54</v>
      </c>
      <c r="G15" s="82">
        <f>HLOOKUP(G13,Feb!H3:M9,7,0)</f>
        <v>37249.440000000002</v>
      </c>
      <c r="H15" s="82">
        <f>HLOOKUP(H13,Feb!I3:N9,7,0)</f>
        <v>241578.21000000002</v>
      </c>
    </row>
    <row r="16" spans="2:8" x14ac:dyDescent="0.25">
      <c r="B16" s="53" t="s">
        <v>103</v>
      </c>
      <c r="C16" s="82">
        <f>HLOOKUP(C13,Mar!D3:I9,7,0)</f>
        <v>87936</v>
      </c>
      <c r="D16" s="82">
        <f>HLOOKUP(D13,Mar!E3:J9,7,0)</f>
        <v>81378</v>
      </c>
      <c r="E16" s="82">
        <f>HLOOKUP(E13,Mar!F3:K9,7,0)</f>
        <v>67299</v>
      </c>
      <c r="F16" s="82">
        <f>HLOOKUP(F13,Mar!G3:L9,7,0)</f>
        <v>51174</v>
      </c>
      <c r="G16" s="82">
        <f>HLOOKUP(G13,Mar!H3:M9,7,0)</f>
        <v>52464</v>
      </c>
      <c r="H16" s="82">
        <f>HLOOKUP(H13,Mar!I3:N9,7,0)</f>
        <v>340251</v>
      </c>
    </row>
    <row r="17" spans="2:8" x14ac:dyDescent="0.25">
      <c r="B17" s="53" t="s">
        <v>104</v>
      </c>
      <c r="C17" s="82">
        <f>HLOOKUP(C13,Apr!D3:I9,7,0)</f>
        <v>21984</v>
      </c>
      <c r="D17" s="82">
        <f>HLOOKUP(D13,Apr!E3:J9,7,0)</f>
        <v>20344.5</v>
      </c>
      <c r="E17" s="82">
        <f>HLOOKUP(E13,Apr!F3:K9,7,0)</f>
        <v>16824.75</v>
      </c>
      <c r="F17" s="82">
        <f>HLOOKUP(F13,Apr!G3:L9,7,0)</f>
        <v>12793.5</v>
      </c>
      <c r="G17" s="82">
        <f>HLOOKUP(G13,Apr!H3:M9,7,0)</f>
        <v>13116</v>
      </c>
      <c r="H17" s="82">
        <f>HLOOKUP(H13,Apr!I3:N9,7,0)</f>
        <v>85062.75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3:I9"/>
  <sheetViews>
    <sheetView workbookViewId="0">
      <selection activeCell="D4" sqref="D4"/>
    </sheetView>
  </sheetViews>
  <sheetFormatPr defaultColWidth="9.125" defaultRowHeight="13.2" x14ac:dyDescent="0.25"/>
  <cols>
    <col min="1" max="16384" width="9.125" style="53"/>
  </cols>
  <sheetData>
    <row r="3" spans="2:9" x14ac:dyDescent="0.25">
      <c r="B3" s="53" t="s">
        <v>115</v>
      </c>
      <c r="C3" s="53" t="s">
        <v>100</v>
      </c>
      <c r="D3" s="53" t="s">
        <v>110</v>
      </c>
      <c r="E3" s="53" t="s">
        <v>111</v>
      </c>
      <c r="F3" s="53" t="s">
        <v>112</v>
      </c>
      <c r="G3" s="53" t="s">
        <v>114</v>
      </c>
      <c r="H3" s="53" t="s">
        <v>113</v>
      </c>
      <c r="I3" s="53" t="s">
        <v>38</v>
      </c>
    </row>
    <row r="4" spans="2:9" x14ac:dyDescent="0.25">
      <c r="B4" s="53">
        <v>1</v>
      </c>
      <c r="C4" s="53" t="s">
        <v>105</v>
      </c>
      <c r="D4" s="53">
        <v>3215</v>
      </c>
      <c r="E4" s="53">
        <v>1256</v>
      </c>
      <c r="F4" s="53">
        <v>1276</v>
      </c>
      <c r="G4" s="53">
        <v>534</v>
      </c>
      <c r="H4" s="53">
        <v>614</v>
      </c>
      <c r="I4" s="53">
        <f>SUM(D4:H4)</f>
        <v>6895</v>
      </c>
    </row>
    <row r="5" spans="2:9" x14ac:dyDescent="0.25">
      <c r="B5" s="53">
        <v>2</v>
      </c>
      <c r="C5" s="53" t="s">
        <v>106</v>
      </c>
      <c r="D5" s="53">
        <v>8765</v>
      </c>
      <c r="E5" s="53">
        <v>9876</v>
      </c>
      <c r="F5" s="53">
        <v>6543</v>
      </c>
      <c r="G5" s="53">
        <v>4671</v>
      </c>
      <c r="H5" s="53">
        <v>4356</v>
      </c>
      <c r="I5" s="53">
        <f>SUM(D5:H5)</f>
        <v>34211</v>
      </c>
    </row>
    <row r="6" spans="2:9" x14ac:dyDescent="0.25">
      <c r="B6" s="53">
        <v>3</v>
      </c>
      <c r="C6" s="53" t="s">
        <v>107</v>
      </c>
      <c r="D6" s="53">
        <v>1265</v>
      </c>
      <c r="E6" s="53">
        <v>3625</v>
      </c>
      <c r="F6" s="53">
        <v>2387</v>
      </c>
      <c r="G6" s="53">
        <v>2314</v>
      </c>
      <c r="H6" s="53">
        <v>2350</v>
      </c>
      <c r="I6" s="53">
        <f>SUM(D6:H6)</f>
        <v>11941</v>
      </c>
    </row>
    <row r="7" spans="2:9" x14ac:dyDescent="0.25">
      <c r="B7" s="53">
        <v>4</v>
      </c>
      <c r="C7" s="53" t="s">
        <v>108</v>
      </c>
      <c r="D7" s="53">
        <v>2398</v>
      </c>
      <c r="E7" s="53">
        <v>4532</v>
      </c>
      <c r="F7" s="53">
        <v>5678</v>
      </c>
      <c r="G7" s="53">
        <v>4321</v>
      </c>
      <c r="H7" s="53">
        <v>5872</v>
      </c>
      <c r="I7" s="53">
        <f>SUM(D7:H7)</f>
        <v>22801</v>
      </c>
    </row>
    <row r="8" spans="2:9" x14ac:dyDescent="0.25">
      <c r="B8" s="53">
        <v>5</v>
      </c>
      <c r="C8" s="53" t="s">
        <v>109</v>
      </c>
      <c r="D8" s="53">
        <v>7329</v>
      </c>
      <c r="E8" s="53">
        <v>7809</v>
      </c>
      <c r="F8" s="53">
        <v>7658</v>
      </c>
      <c r="G8" s="53">
        <v>8324</v>
      </c>
      <c r="H8" s="53">
        <v>6449</v>
      </c>
      <c r="I8" s="53">
        <f>SUM(D8:H8)</f>
        <v>37569</v>
      </c>
    </row>
    <row r="9" spans="2:9" x14ac:dyDescent="0.25">
      <c r="C9" s="53" t="s">
        <v>38</v>
      </c>
      <c r="D9" s="53">
        <f t="shared" ref="D9:I9" si="0">SUM(D4:D8)</f>
        <v>22972</v>
      </c>
      <c r="E9" s="53">
        <f t="shared" si="0"/>
        <v>27098</v>
      </c>
      <c r="F9" s="53">
        <f t="shared" si="0"/>
        <v>23542</v>
      </c>
      <c r="G9" s="53">
        <f t="shared" si="0"/>
        <v>20164</v>
      </c>
      <c r="H9" s="53">
        <f t="shared" si="0"/>
        <v>19641</v>
      </c>
      <c r="I9" s="53">
        <f t="shared" si="0"/>
        <v>113417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3:I9"/>
  <sheetViews>
    <sheetView workbookViewId="0">
      <selection activeCell="I9" sqref="I9"/>
    </sheetView>
  </sheetViews>
  <sheetFormatPr defaultColWidth="9.125" defaultRowHeight="13.2" x14ac:dyDescent="0.25"/>
  <cols>
    <col min="1" max="16384" width="9.125" style="53"/>
  </cols>
  <sheetData>
    <row r="3" spans="2:9" x14ac:dyDescent="0.25">
      <c r="B3" s="53" t="s">
        <v>115</v>
      </c>
      <c r="C3" s="53" t="s">
        <v>100</v>
      </c>
      <c r="D3" s="53" t="s">
        <v>110</v>
      </c>
      <c r="E3" s="53" t="s">
        <v>111</v>
      </c>
      <c r="F3" s="53" t="s">
        <v>112</v>
      </c>
      <c r="G3" s="53" t="s">
        <v>114</v>
      </c>
      <c r="H3" s="53" t="s">
        <v>113</v>
      </c>
      <c r="I3" s="53" t="s">
        <v>38</v>
      </c>
    </row>
    <row r="4" spans="2:9" x14ac:dyDescent="0.25">
      <c r="B4" s="53">
        <v>1</v>
      </c>
      <c r="C4" s="53" t="s">
        <v>105</v>
      </c>
      <c r="D4" s="82">
        <v>2641.2</v>
      </c>
      <c r="E4" s="82">
        <v>6882.03</v>
      </c>
      <c r="F4" s="82">
        <v>2717.88</v>
      </c>
      <c r="G4" s="82">
        <v>1137.42</v>
      </c>
      <c r="H4" s="82">
        <v>1307.82</v>
      </c>
      <c r="I4" s="82">
        <f>SUM(D4:H4)</f>
        <v>14686.35</v>
      </c>
    </row>
    <row r="5" spans="2:9" x14ac:dyDescent="0.25">
      <c r="B5" s="53">
        <v>2</v>
      </c>
      <c r="C5" s="53" t="s">
        <v>106</v>
      </c>
      <c r="D5" s="82">
        <v>26953.02</v>
      </c>
      <c r="E5" s="82">
        <v>21035.88</v>
      </c>
      <c r="F5" s="82">
        <v>11574.42</v>
      </c>
      <c r="G5" s="82">
        <v>8019.45</v>
      </c>
      <c r="H5" s="82">
        <v>5286.66</v>
      </c>
      <c r="I5" s="82">
        <f>SUM(D5:H5)</f>
        <v>72869.430000000008</v>
      </c>
    </row>
    <row r="6" spans="2:9" x14ac:dyDescent="0.25">
      <c r="B6" s="53">
        <v>3</v>
      </c>
      <c r="C6" s="53" t="s">
        <v>107</v>
      </c>
      <c r="D6" s="82">
        <v>6841.56</v>
      </c>
      <c r="E6" s="82">
        <v>3574.14</v>
      </c>
      <c r="F6" s="82">
        <v>5084.3100000000004</v>
      </c>
      <c r="G6" s="82">
        <v>4928.82</v>
      </c>
      <c r="H6" s="82">
        <v>5005.5</v>
      </c>
      <c r="I6" s="82">
        <f>SUM(D6:H6)</f>
        <v>25434.33</v>
      </c>
    </row>
    <row r="7" spans="2:9" x14ac:dyDescent="0.25">
      <c r="B7" s="53">
        <v>4</v>
      </c>
      <c r="C7" s="53" t="s">
        <v>108</v>
      </c>
      <c r="D7" s="82">
        <v>5107.74</v>
      </c>
      <c r="E7" s="82">
        <v>9653.16</v>
      </c>
      <c r="F7" s="82">
        <v>12094.14</v>
      </c>
      <c r="G7" s="82">
        <v>9203.73</v>
      </c>
      <c r="H7" s="82">
        <v>12507.36</v>
      </c>
      <c r="I7" s="82">
        <f>SUM(D7:H7)</f>
        <v>48566.130000000005</v>
      </c>
    </row>
    <row r="8" spans="2:9" x14ac:dyDescent="0.25">
      <c r="B8" s="53">
        <v>5</v>
      </c>
      <c r="C8" s="53" t="s">
        <v>109</v>
      </c>
      <c r="D8" s="82">
        <v>20891.04</v>
      </c>
      <c r="E8" s="82">
        <v>16633.169999999998</v>
      </c>
      <c r="F8" s="82">
        <v>16311.54</v>
      </c>
      <c r="G8" s="82">
        <v>13044.12</v>
      </c>
      <c r="H8" s="82">
        <v>13142.1</v>
      </c>
      <c r="I8" s="82">
        <f>SUM(D8:H8)</f>
        <v>80021.97</v>
      </c>
    </row>
    <row r="9" spans="2:9" x14ac:dyDescent="0.25">
      <c r="C9" s="53" t="s">
        <v>38</v>
      </c>
      <c r="D9" s="82">
        <f t="shared" ref="D9:I9" si="0">SUM(D4:D8)</f>
        <v>62434.559999999998</v>
      </c>
      <c r="E9" s="82">
        <f t="shared" si="0"/>
        <v>57778.38</v>
      </c>
      <c r="F9" s="82">
        <f t="shared" si="0"/>
        <v>47782.29</v>
      </c>
      <c r="G9" s="82">
        <f t="shared" si="0"/>
        <v>36333.54</v>
      </c>
      <c r="H9" s="82">
        <f t="shared" si="0"/>
        <v>37249.440000000002</v>
      </c>
      <c r="I9" s="82">
        <f t="shared" si="0"/>
        <v>241578.21000000002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3:I9"/>
  <sheetViews>
    <sheetView workbookViewId="0">
      <selection activeCell="H14" sqref="H14"/>
    </sheetView>
  </sheetViews>
  <sheetFormatPr defaultColWidth="9.125" defaultRowHeight="13.2" x14ac:dyDescent="0.25"/>
  <cols>
    <col min="1" max="16384" width="9.125" style="53"/>
  </cols>
  <sheetData>
    <row r="3" spans="2:9" x14ac:dyDescent="0.25">
      <c r="B3" s="53" t="s">
        <v>115</v>
      </c>
      <c r="C3" s="53" t="s">
        <v>100</v>
      </c>
      <c r="D3" s="53" t="s">
        <v>110</v>
      </c>
      <c r="E3" s="53" t="s">
        <v>111</v>
      </c>
      <c r="F3" s="53" t="s">
        <v>112</v>
      </c>
      <c r="G3" s="53" t="s">
        <v>114</v>
      </c>
      <c r="H3" s="53" t="s">
        <v>113</v>
      </c>
      <c r="I3" s="53" t="s">
        <v>38</v>
      </c>
    </row>
    <row r="4" spans="2:9" x14ac:dyDescent="0.25">
      <c r="B4" s="53">
        <v>1</v>
      </c>
      <c r="C4" s="53" t="s">
        <v>105</v>
      </c>
      <c r="D4" s="53">
        <v>3720</v>
      </c>
      <c r="E4" s="53">
        <v>9693</v>
      </c>
      <c r="F4" s="53">
        <v>3828</v>
      </c>
      <c r="G4" s="53">
        <v>1602</v>
      </c>
      <c r="H4" s="53">
        <v>1842</v>
      </c>
      <c r="I4" s="53">
        <f>SUM(D4:H4)</f>
        <v>20685</v>
      </c>
    </row>
    <row r="5" spans="2:9" x14ac:dyDescent="0.25">
      <c r="B5" s="53">
        <v>2</v>
      </c>
      <c r="C5" s="53" t="s">
        <v>106</v>
      </c>
      <c r="D5" s="53">
        <v>37962</v>
      </c>
      <c r="E5" s="53">
        <v>29628</v>
      </c>
      <c r="F5" s="53">
        <v>16302</v>
      </c>
      <c r="G5" s="53">
        <v>11295</v>
      </c>
      <c r="H5" s="53">
        <v>7446</v>
      </c>
      <c r="I5" s="53">
        <f>SUM(D5:H5)</f>
        <v>102633</v>
      </c>
    </row>
    <row r="6" spans="2:9" x14ac:dyDescent="0.25">
      <c r="B6" s="53">
        <v>3</v>
      </c>
      <c r="C6" s="53" t="s">
        <v>107</v>
      </c>
      <c r="D6" s="53">
        <v>9636</v>
      </c>
      <c r="E6" s="53">
        <v>5034</v>
      </c>
      <c r="F6" s="53">
        <v>7161</v>
      </c>
      <c r="G6" s="53">
        <v>6942</v>
      </c>
      <c r="H6" s="53">
        <v>7050</v>
      </c>
      <c r="I6" s="53">
        <f>SUM(D6:H6)</f>
        <v>35823</v>
      </c>
    </row>
    <row r="7" spans="2:9" x14ac:dyDescent="0.25">
      <c r="B7" s="53">
        <v>4</v>
      </c>
      <c r="C7" s="53" t="s">
        <v>108</v>
      </c>
      <c r="D7" s="53">
        <v>7194</v>
      </c>
      <c r="E7" s="53">
        <v>13596</v>
      </c>
      <c r="F7" s="53">
        <v>17034</v>
      </c>
      <c r="G7" s="53">
        <v>12963</v>
      </c>
      <c r="H7" s="53">
        <v>17616</v>
      </c>
      <c r="I7" s="53">
        <f>SUM(D7:H7)</f>
        <v>68403</v>
      </c>
    </row>
    <row r="8" spans="2:9" x14ac:dyDescent="0.25">
      <c r="B8" s="53">
        <v>5</v>
      </c>
      <c r="C8" s="53" t="s">
        <v>109</v>
      </c>
      <c r="D8" s="53">
        <v>29424</v>
      </c>
      <c r="E8" s="53">
        <v>23427</v>
      </c>
      <c r="F8" s="53">
        <v>22974</v>
      </c>
      <c r="G8" s="53">
        <v>18372</v>
      </c>
      <c r="H8" s="53">
        <v>18510</v>
      </c>
      <c r="I8" s="53">
        <f>SUM(D8:H8)</f>
        <v>112707</v>
      </c>
    </row>
    <row r="9" spans="2:9" x14ac:dyDescent="0.25">
      <c r="C9" s="53" t="s">
        <v>38</v>
      </c>
      <c r="D9" s="53">
        <f t="shared" ref="D9:I9" si="0">SUM(D4:D8)</f>
        <v>87936</v>
      </c>
      <c r="E9" s="53">
        <f t="shared" si="0"/>
        <v>81378</v>
      </c>
      <c r="F9" s="53">
        <f t="shared" si="0"/>
        <v>67299</v>
      </c>
      <c r="G9" s="53">
        <f t="shared" si="0"/>
        <v>51174</v>
      </c>
      <c r="H9" s="53">
        <f t="shared" si="0"/>
        <v>52464</v>
      </c>
      <c r="I9" s="53">
        <f t="shared" si="0"/>
        <v>340251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3:I9"/>
  <sheetViews>
    <sheetView workbookViewId="0">
      <selection activeCell="H14" sqref="H14"/>
    </sheetView>
  </sheetViews>
  <sheetFormatPr defaultColWidth="9.125" defaultRowHeight="13.2" x14ac:dyDescent="0.25"/>
  <cols>
    <col min="1" max="16384" width="9.125" style="53"/>
  </cols>
  <sheetData>
    <row r="3" spans="2:9" x14ac:dyDescent="0.25">
      <c r="B3" s="53" t="s">
        <v>115</v>
      </c>
      <c r="C3" s="53" t="s">
        <v>100</v>
      </c>
      <c r="D3" s="53" t="s">
        <v>110</v>
      </c>
      <c r="E3" s="53" t="s">
        <v>111</v>
      </c>
      <c r="F3" s="53" t="s">
        <v>112</v>
      </c>
      <c r="G3" s="53" t="s">
        <v>114</v>
      </c>
      <c r="H3" s="53" t="s">
        <v>113</v>
      </c>
      <c r="I3" s="53" t="s">
        <v>38</v>
      </c>
    </row>
    <row r="4" spans="2:9" x14ac:dyDescent="0.25">
      <c r="B4" s="53">
        <v>1</v>
      </c>
      <c r="C4" s="53" t="s">
        <v>105</v>
      </c>
      <c r="D4" s="82">
        <v>930</v>
      </c>
      <c r="E4" s="82">
        <v>2423.25</v>
      </c>
      <c r="F4" s="82">
        <v>957</v>
      </c>
      <c r="G4" s="82">
        <v>400.5</v>
      </c>
      <c r="H4" s="82">
        <v>460.5</v>
      </c>
      <c r="I4" s="82">
        <f>SUM(D4:H4)</f>
        <v>5171.25</v>
      </c>
    </row>
    <row r="5" spans="2:9" x14ac:dyDescent="0.25">
      <c r="B5" s="53">
        <v>2</v>
      </c>
      <c r="C5" s="53" t="s">
        <v>106</v>
      </c>
      <c r="D5" s="82">
        <v>9490.5</v>
      </c>
      <c r="E5" s="82">
        <v>7407</v>
      </c>
      <c r="F5" s="82">
        <v>4075.5</v>
      </c>
      <c r="G5" s="82">
        <v>2823.75</v>
      </c>
      <c r="H5" s="82">
        <v>1861.5</v>
      </c>
      <c r="I5" s="82">
        <f>SUM(D5:H5)</f>
        <v>25658.25</v>
      </c>
    </row>
    <row r="6" spans="2:9" x14ac:dyDescent="0.25">
      <c r="B6" s="53">
        <v>3</v>
      </c>
      <c r="C6" s="53" t="s">
        <v>107</v>
      </c>
      <c r="D6" s="82">
        <v>2409</v>
      </c>
      <c r="E6" s="82">
        <v>1258.5</v>
      </c>
      <c r="F6" s="82">
        <v>1790.25</v>
      </c>
      <c r="G6" s="82">
        <v>1735.5</v>
      </c>
      <c r="H6" s="82">
        <v>1762.5</v>
      </c>
      <c r="I6" s="82">
        <f>SUM(D6:H6)</f>
        <v>8955.75</v>
      </c>
    </row>
    <row r="7" spans="2:9" x14ac:dyDescent="0.25">
      <c r="B7" s="53">
        <v>4</v>
      </c>
      <c r="C7" s="53" t="s">
        <v>108</v>
      </c>
      <c r="D7" s="82">
        <v>1798.5</v>
      </c>
      <c r="E7" s="82">
        <v>3399</v>
      </c>
      <c r="F7" s="82">
        <v>4258.5</v>
      </c>
      <c r="G7" s="82">
        <v>3240.75</v>
      </c>
      <c r="H7" s="82">
        <v>4404</v>
      </c>
      <c r="I7" s="82">
        <f>SUM(D7:H7)</f>
        <v>17100.75</v>
      </c>
    </row>
    <row r="8" spans="2:9" x14ac:dyDescent="0.25">
      <c r="B8" s="53">
        <v>5</v>
      </c>
      <c r="C8" s="53" t="s">
        <v>109</v>
      </c>
      <c r="D8" s="82">
        <v>7356</v>
      </c>
      <c r="E8" s="82">
        <v>5856.75</v>
      </c>
      <c r="F8" s="82">
        <v>5743.5</v>
      </c>
      <c r="G8" s="82">
        <v>4593</v>
      </c>
      <c r="H8" s="82">
        <v>4627.5</v>
      </c>
      <c r="I8" s="82">
        <f>SUM(D8:H8)</f>
        <v>28176.75</v>
      </c>
    </row>
    <row r="9" spans="2:9" x14ac:dyDescent="0.25">
      <c r="C9" s="53" t="s">
        <v>38</v>
      </c>
      <c r="D9" s="82">
        <f t="shared" ref="D9:I9" si="0">SUM(D4:D8)</f>
        <v>21984</v>
      </c>
      <c r="E9" s="82">
        <f t="shared" si="0"/>
        <v>20344.5</v>
      </c>
      <c r="F9" s="82">
        <f t="shared" si="0"/>
        <v>16824.75</v>
      </c>
      <c r="G9" s="82">
        <f t="shared" si="0"/>
        <v>12793.5</v>
      </c>
      <c r="H9" s="82">
        <f t="shared" si="0"/>
        <v>13116</v>
      </c>
      <c r="I9" s="82">
        <f t="shared" si="0"/>
        <v>85062.75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B1:L30"/>
  <sheetViews>
    <sheetView workbookViewId="0">
      <selection activeCell="L2" sqref="L2"/>
    </sheetView>
  </sheetViews>
  <sheetFormatPr defaultRowHeight="13.8" x14ac:dyDescent="0.25"/>
  <cols>
    <col min="2" max="2" width="8" bestFit="1" customWidth="1"/>
    <col min="3" max="3" width="8.25" bestFit="1" customWidth="1"/>
    <col min="4" max="4" width="10.625" bestFit="1" customWidth="1"/>
    <col min="5" max="5" width="12.375" bestFit="1" customWidth="1"/>
    <col min="6" max="6" width="8.375" bestFit="1" customWidth="1"/>
    <col min="8" max="8" width="11.875" bestFit="1" customWidth="1"/>
    <col min="9" max="9" width="13.375" bestFit="1" customWidth="1"/>
  </cols>
  <sheetData>
    <row r="1" spans="2:12" x14ac:dyDescent="0.25">
      <c r="B1" s="17" t="s">
        <v>0</v>
      </c>
      <c r="C1" s="3" t="s">
        <v>1</v>
      </c>
      <c r="D1" s="3" t="s">
        <v>2</v>
      </c>
      <c r="E1" s="2" t="s">
        <v>27</v>
      </c>
      <c r="F1" s="4" t="s">
        <v>3</v>
      </c>
      <c r="G1" s="5" t="s">
        <v>4</v>
      </c>
      <c r="H1" s="6" t="s">
        <v>5</v>
      </c>
      <c r="I1" s="7" t="s">
        <v>23</v>
      </c>
      <c r="K1">
        <v>109</v>
      </c>
      <c r="L1" s="83" t="str">
        <f>_xlfn.XLOOKUP(K1,E2:E30,D2:D30)</f>
        <v>Howard</v>
      </c>
    </row>
    <row r="2" spans="2:12" x14ac:dyDescent="0.25">
      <c r="B2" s="18">
        <v>39819</v>
      </c>
      <c r="C2" s="8" t="s">
        <v>20</v>
      </c>
      <c r="D2" s="9" t="s">
        <v>22</v>
      </c>
      <c r="E2" s="14">
        <v>101</v>
      </c>
      <c r="F2" s="10" t="s">
        <v>8</v>
      </c>
      <c r="G2" s="11">
        <v>95</v>
      </c>
      <c r="H2" s="12">
        <v>1.99</v>
      </c>
      <c r="I2" s="13" t="s">
        <v>24</v>
      </c>
    </row>
    <row r="3" spans="2:12" x14ac:dyDescent="0.25">
      <c r="B3" s="18">
        <v>39853</v>
      </c>
      <c r="C3" s="8" t="s">
        <v>13</v>
      </c>
      <c r="D3" s="8" t="s">
        <v>15</v>
      </c>
      <c r="E3" s="14">
        <v>102</v>
      </c>
      <c r="F3" s="10" t="s">
        <v>8</v>
      </c>
      <c r="G3" s="11">
        <v>36</v>
      </c>
      <c r="H3" s="12">
        <v>4.99</v>
      </c>
      <c r="I3" s="13" t="s">
        <v>24</v>
      </c>
    </row>
    <row r="4" spans="2:12" x14ac:dyDescent="0.25">
      <c r="B4" s="18">
        <v>39887</v>
      </c>
      <c r="C4" s="8" t="s">
        <v>6</v>
      </c>
      <c r="D4" s="9" t="s">
        <v>7</v>
      </c>
      <c r="E4" s="14">
        <v>103</v>
      </c>
      <c r="F4" s="10" t="s">
        <v>8</v>
      </c>
      <c r="G4" s="11">
        <v>56</v>
      </c>
      <c r="H4" s="12">
        <v>2.99</v>
      </c>
      <c r="I4" s="13" t="s">
        <v>24</v>
      </c>
    </row>
    <row r="5" spans="2:12" x14ac:dyDescent="0.25">
      <c r="B5" s="18">
        <v>39904</v>
      </c>
      <c r="C5" s="8" t="s">
        <v>20</v>
      </c>
      <c r="D5" s="8" t="s">
        <v>21</v>
      </c>
      <c r="E5" s="14">
        <v>104</v>
      </c>
      <c r="F5" s="10" t="s">
        <v>9</v>
      </c>
      <c r="G5" s="11">
        <v>60</v>
      </c>
      <c r="H5" s="12">
        <v>4.99</v>
      </c>
      <c r="I5" s="13" t="s">
        <v>24</v>
      </c>
    </row>
    <row r="6" spans="2:12" x14ac:dyDescent="0.25">
      <c r="B6" s="18">
        <v>39938</v>
      </c>
      <c r="C6" s="8" t="s">
        <v>13</v>
      </c>
      <c r="D6" s="8" t="s">
        <v>15</v>
      </c>
      <c r="E6" s="14">
        <v>105</v>
      </c>
      <c r="F6" s="10" t="s">
        <v>8</v>
      </c>
      <c r="G6" s="11">
        <v>90</v>
      </c>
      <c r="H6" s="12">
        <v>4.99</v>
      </c>
      <c r="I6" s="20" t="s">
        <v>24</v>
      </c>
    </row>
    <row r="7" spans="2:12" x14ac:dyDescent="0.25">
      <c r="B7" s="18">
        <v>39955</v>
      </c>
      <c r="C7" s="8" t="s">
        <v>6</v>
      </c>
      <c r="D7" s="8" t="s">
        <v>12</v>
      </c>
      <c r="E7" s="14">
        <v>106</v>
      </c>
      <c r="F7" s="10" t="s">
        <v>8</v>
      </c>
      <c r="G7" s="11">
        <v>32</v>
      </c>
      <c r="H7" s="12">
        <v>1.99</v>
      </c>
      <c r="I7" s="13" t="s">
        <v>25</v>
      </c>
    </row>
    <row r="8" spans="2:12" x14ac:dyDescent="0.25">
      <c r="B8" s="18">
        <v>39972</v>
      </c>
      <c r="C8" s="8" t="s">
        <v>20</v>
      </c>
      <c r="D8" s="8" t="s">
        <v>22</v>
      </c>
      <c r="E8" s="14">
        <v>107</v>
      </c>
      <c r="F8" s="10" t="s">
        <v>9</v>
      </c>
      <c r="G8" s="11">
        <v>60</v>
      </c>
      <c r="H8" s="12">
        <v>8.99</v>
      </c>
      <c r="I8" s="13" t="s">
        <v>25</v>
      </c>
    </row>
    <row r="9" spans="2:12" x14ac:dyDescent="0.25">
      <c r="B9" s="18">
        <v>39989</v>
      </c>
      <c r="C9" s="8" t="s">
        <v>13</v>
      </c>
      <c r="D9" s="8" t="s">
        <v>18</v>
      </c>
      <c r="E9" s="14">
        <v>108</v>
      </c>
      <c r="F9" s="10" t="s">
        <v>8</v>
      </c>
      <c r="G9" s="11">
        <v>90</v>
      </c>
      <c r="H9" s="12">
        <v>4.99</v>
      </c>
      <c r="I9" s="13" t="s">
        <v>25</v>
      </c>
    </row>
    <row r="10" spans="2:12" x14ac:dyDescent="0.25">
      <c r="B10" s="18">
        <v>40006</v>
      </c>
      <c r="C10" s="8" t="s">
        <v>20</v>
      </c>
      <c r="D10" s="8" t="s">
        <v>15</v>
      </c>
      <c r="E10" s="14">
        <v>109</v>
      </c>
      <c r="F10" s="10" t="s">
        <v>9</v>
      </c>
      <c r="G10" s="11">
        <v>29</v>
      </c>
      <c r="H10" s="12">
        <v>1.99</v>
      </c>
      <c r="I10" s="13" t="s">
        <v>25</v>
      </c>
    </row>
    <row r="11" spans="2:12" x14ac:dyDescent="0.25">
      <c r="B11" s="18">
        <v>40040</v>
      </c>
      <c r="C11" s="8" t="s">
        <v>20</v>
      </c>
      <c r="D11" s="9" t="s">
        <v>22</v>
      </c>
      <c r="E11" s="14">
        <v>110</v>
      </c>
      <c r="F11" s="10" t="s">
        <v>8</v>
      </c>
      <c r="G11" s="11">
        <v>35</v>
      </c>
      <c r="H11" s="12">
        <v>4.99</v>
      </c>
      <c r="I11" s="13" t="s">
        <v>26</v>
      </c>
    </row>
    <row r="12" spans="2:12" x14ac:dyDescent="0.25">
      <c r="B12" s="18">
        <v>40057</v>
      </c>
      <c r="C12" s="8" t="s">
        <v>13</v>
      </c>
      <c r="D12" s="9" t="s">
        <v>19</v>
      </c>
      <c r="E12" s="14">
        <v>111</v>
      </c>
      <c r="F12" s="10" t="s">
        <v>10</v>
      </c>
      <c r="G12" s="11">
        <v>2</v>
      </c>
      <c r="H12" s="12">
        <v>125</v>
      </c>
      <c r="I12" s="13" t="s">
        <v>25</v>
      </c>
    </row>
    <row r="13" spans="2:12" x14ac:dyDescent="0.25">
      <c r="B13" s="18">
        <v>40074</v>
      </c>
      <c r="C13" s="8" t="s">
        <v>20</v>
      </c>
      <c r="D13" s="8" t="s">
        <v>22</v>
      </c>
      <c r="E13" s="14">
        <v>112</v>
      </c>
      <c r="F13" s="10" t="s">
        <v>16</v>
      </c>
      <c r="G13" s="11">
        <v>16</v>
      </c>
      <c r="H13" s="12">
        <v>15.99</v>
      </c>
      <c r="I13" s="13" t="s">
        <v>24</v>
      </c>
    </row>
    <row r="14" spans="2:12" x14ac:dyDescent="0.25">
      <c r="B14" s="18">
        <v>40091</v>
      </c>
      <c r="C14" s="8" t="s">
        <v>13</v>
      </c>
      <c r="D14" s="8" t="s">
        <v>18</v>
      </c>
      <c r="E14" s="14">
        <v>113</v>
      </c>
      <c r="F14" s="10" t="s">
        <v>9</v>
      </c>
      <c r="G14" s="11">
        <v>28</v>
      </c>
      <c r="H14" s="12">
        <v>8.99</v>
      </c>
      <c r="I14" s="13" t="s">
        <v>25</v>
      </c>
    </row>
    <row r="15" spans="2:12" x14ac:dyDescent="0.25">
      <c r="B15" s="18">
        <v>40108</v>
      </c>
      <c r="C15" s="8" t="s">
        <v>20</v>
      </c>
      <c r="D15" s="8" t="s">
        <v>22</v>
      </c>
      <c r="E15" s="14">
        <v>114</v>
      </c>
      <c r="F15" s="10" t="s">
        <v>11</v>
      </c>
      <c r="G15" s="11">
        <v>64</v>
      </c>
      <c r="H15" s="12">
        <v>8.99</v>
      </c>
      <c r="I15" s="13" t="s">
        <v>25</v>
      </c>
    </row>
    <row r="16" spans="2:12" x14ac:dyDescent="0.25">
      <c r="B16" s="18">
        <v>40159</v>
      </c>
      <c r="C16" s="8" t="s">
        <v>13</v>
      </c>
      <c r="D16" s="9" t="s">
        <v>19</v>
      </c>
      <c r="E16" s="14">
        <v>115</v>
      </c>
      <c r="F16" s="10" t="s">
        <v>8</v>
      </c>
      <c r="G16" s="11">
        <v>67</v>
      </c>
      <c r="H16" s="12">
        <v>1.29</v>
      </c>
      <c r="I16" s="13" t="s">
        <v>25</v>
      </c>
    </row>
    <row r="17" spans="2:9" x14ac:dyDescent="0.25">
      <c r="B17" s="18">
        <v>40210</v>
      </c>
      <c r="C17" s="9" t="s">
        <v>13</v>
      </c>
      <c r="D17" s="9" t="s">
        <v>19</v>
      </c>
      <c r="E17" s="14">
        <v>116</v>
      </c>
      <c r="F17" s="10" t="s">
        <v>9</v>
      </c>
      <c r="G17" s="11">
        <v>87</v>
      </c>
      <c r="H17" s="12">
        <v>15</v>
      </c>
      <c r="I17" s="13" t="s">
        <v>26</v>
      </c>
    </row>
    <row r="18" spans="2:9" x14ac:dyDescent="0.25">
      <c r="B18" s="18">
        <v>40244</v>
      </c>
      <c r="C18" s="8" t="s">
        <v>6</v>
      </c>
      <c r="D18" s="9" t="s">
        <v>7</v>
      </c>
      <c r="E18" s="14">
        <v>117</v>
      </c>
      <c r="F18" s="10" t="s">
        <v>9</v>
      </c>
      <c r="G18" s="11">
        <v>7</v>
      </c>
      <c r="H18" s="12">
        <v>19.989999999999998</v>
      </c>
      <c r="I18" s="13" t="s">
        <v>25</v>
      </c>
    </row>
    <row r="19" spans="2:9" x14ac:dyDescent="0.25">
      <c r="B19" s="18">
        <v>40261</v>
      </c>
      <c r="C19" s="8" t="s">
        <v>13</v>
      </c>
      <c r="D19" s="8" t="s">
        <v>15</v>
      </c>
      <c r="E19" s="14">
        <v>118</v>
      </c>
      <c r="F19" s="10" t="s">
        <v>16</v>
      </c>
      <c r="G19" s="11">
        <v>50</v>
      </c>
      <c r="H19" s="12">
        <v>4.99</v>
      </c>
      <c r="I19" s="13" t="s">
        <v>25</v>
      </c>
    </row>
    <row r="20" spans="2:9" x14ac:dyDescent="0.25">
      <c r="B20" s="18">
        <v>40295</v>
      </c>
      <c r="C20" s="8" t="s">
        <v>20</v>
      </c>
      <c r="D20" s="8" t="s">
        <v>15</v>
      </c>
      <c r="E20" s="14">
        <v>119</v>
      </c>
      <c r="F20" s="10" t="s">
        <v>11</v>
      </c>
      <c r="G20" s="11">
        <v>96</v>
      </c>
      <c r="H20" s="12">
        <v>4.99</v>
      </c>
      <c r="I20" s="13" t="s">
        <v>26</v>
      </c>
    </row>
    <row r="21" spans="2:9" x14ac:dyDescent="0.25">
      <c r="B21" s="18">
        <v>40312</v>
      </c>
      <c r="C21" s="9" t="s">
        <v>13</v>
      </c>
      <c r="D21" s="9" t="s">
        <v>14</v>
      </c>
      <c r="E21" s="14">
        <v>120</v>
      </c>
      <c r="F21" s="10" t="s">
        <v>8</v>
      </c>
      <c r="G21" s="11">
        <v>53</v>
      </c>
      <c r="H21" s="12">
        <v>1.29</v>
      </c>
      <c r="I21" s="13" t="s">
        <v>25</v>
      </c>
    </row>
    <row r="22" spans="2:9" x14ac:dyDescent="0.25">
      <c r="B22" s="18">
        <v>40329</v>
      </c>
      <c r="C22" s="9" t="s">
        <v>13</v>
      </c>
      <c r="D22" s="9" t="s">
        <v>14</v>
      </c>
      <c r="E22" s="14">
        <v>121</v>
      </c>
      <c r="F22" s="10" t="s">
        <v>9</v>
      </c>
      <c r="G22" s="11">
        <v>80</v>
      </c>
      <c r="H22" s="12">
        <v>8.99</v>
      </c>
      <c r="I22" s="13" t="s">
        <v>25</v>
      </c>
    </row>
    <row r="23" spans="2:9" x14ac:dyDescent="0.25">
      <c r="B23" s="18">
        <v>40380</v>
      </c>
      <c r="C23" s="8" t="s">
        <v>13</v>
      </c>
      <c r="D23" s="8" t="s">
        <v>18</v>
      </c>
      <c r="E23" s="14">
        <v>122</v>
      </c>
      <c r="F23" s="10" t="s">
        <v>16</v>
      </c>
      <c r="G23" s="11">
        <v>55</v>
      </c>
      <c r="H23" s="12">
        <v>12.49</v>
      </c>
      <c r="I23" s="13" t="s">
        <v>25</v>
      </c>
    </row>
    <row r="24" spans="2:9" x14ac:dyDescent="0.25">
      <c r="B24" s="18">
        <v>40397</v>
      </c>
      <c r="C24" s="8" t="s">
        <v>13</v>
      </c>
      <c r="D24" s="9" t="s">
        <v>17</v>
      </c>
      <c r="E24" s="14">
        <v>123</v>
      </c>
      <c r="F24" s="10" t="s">
        <v>16</v>
      </c>
      <c r="G24" s="11">
        <v>42</v>
      </c>
      <c r="H24" s="12">
        <v>23.95</v>
      </c>
      <c r="I24" s="13" t="s">
        <v>25</v>
      </c>
    </row>
    <row r="25" spans="2:9" x14ac:dyDescent="0.25">
      <c r="B25" s="18">
        <v>40414</v>
      </c>
      <c r="C25" s="8" t="s">
        <v>6</v>
      </c>
      <c r="D25" s="8" t="s">
        <v>7</v>
      </c>
      <c r="E25" s="14">
        <v>124</v>
      </c>
      <c r="F25" s="10" t="s">
        <v>10</v>
      </c>
      <c r="G25" s="11">
        <v>3</v>
      </c>
      <c r="H25" s="12">
        <v>275</v>
      </c>
      <c r="I25" s="13" t="s">
        <v>25</v>
      </c>
    </row>
    <row r="26" spans="2:9" x14ac:dyDescent="0.25">
      <c r="B26" s="18">
        <v>40431</v>
      </c>
      <c r="C26" s="9" t="s">
        <v>13</v>
      </c>
      <c r="D26" s="9" t="s">
        <v>14</v>
      </c>
      <c r="E26" s="14">
        <v>125</v>
      </c>
      <c r="F26" s="10" t="s">
        <v>8</v>
      </c>
      <c r="G26" s="11">
        <v>7</v>
      </c>
      <c r="H26" s="12">
        <v>1.29</v>
      </c>
      <c r="I26" s="13" t="s">
        <v>25</v>
      </c>
    </row>
    <row r="27" spans="2:9" x14ac:dyDescent="0.25">
      <c r="B27" s="18">
        <v>40448</v>
      </c>
      <c r="C27" s="8" t="s">
        <v>6</v>
      </c>
      <c r="D27" s="8" t="s">
        <v>7</v>
      </c>
      <c r="E27" s="14">
        <v>126</v>
      </c>
      <c r="F27" s="10" t="s">
        <v>11</v>
      </c>
      <c r="G27" s="11">
        <v>76</v>
      </c>
      <c r="H27" s="12">
        <v>1.99</v>
      </c>
      <c r="I27" s="13" t="s">
        <v>25</v>
      </c>
    </row>
    <row r="28" spans="2:9" x14ac:dyDescent="0.25">
      <c r="B28" s="18">
        <v>40465</v>
      </c>
      <c r="C28" s="8" t="s">
        <v>6</v>
      </c>
      <c r="D28" s="9" t="s">
        <v>12</v>
      </c>
      <c r="E28" s="14">
        <v>127</v>
      </c>
      <c r="F28" s="10" t="s">
        <v>9</v>
      </c>
      <c r="G28" s="11">
        <v>57</v>
      </c>
      <c r="H28" s="12">
        <v>19.989999999999998</v>
      </c>
      <c r="I28" s="13" t="s">
        <v>25</v>
      </c>
    </row>
    <row r="29" spans="2:9" x14ac:dyDescent="0.25">
      <c r="B29" s="18">
        <v>40482</v>
      </c>
      <c r="C29" s="9" t="s">
        <v>13</v>
      </c>
      <c r="D29" s="9" t="s">
        <v>14</v>
      </c>
      <c r="E29" s="14">
        <v>128</v>
      </c>
      <c r="F29" s="10" t="s">
        <v>8</v>
      </c>
      <c r="G29" s="11">
        <v>14</v>
      </c>
      <c r="H29" s="12">
        <v>1.29</v>
      </c>
      <c r="I29" s="13" t="s">
        <v>25</v>
      </c>
    </row>
    <row r="30" spans="2:9" x14ac:dyDescent="0.25">
      <c r="B30" s="18">
        <v>40533</v>
      </c>
      <c r="C30" s="9" t="s">
        <v>13</v>
      </c>
      <c r="D30" s="9" t="s">
        <v>14</v>
      </c>
      <c r="E30" s="14">
        <v>129</v>
      </c>
      <c r="F30" s="10" t="s">
        <v>9</v>
      </c>
      <c r="G30" s="11">
        <v>28</v>
      </c>
      <c r="H30" s="12">
        <v>4.99</v>
      </c>
      <c r="I30" s="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vlookup</vt:lpstr>
      <vt:lpstr>hlookup</vt:lpstr>
      <vt:lpstr>Invoice</vt:lpstr>
      <vt:lpstr>EX1</vt:lpstr>
      <vt:lpstr>Data</vt:lpstr>
      <vt:lpstr>Vendor</vt:lpstr>
      <vt:lpstr>Jan</vt:lpstr>
      <vt:lpstr>Feb</vt:lpstr>
      <vt:lpstr>Mar</vt:lpstr>
      <vt:lpstr>Apr</vt:lpstr>
      <vt:lpstr>xlookup</vt:lpstr>
      <vt:lpstr>BasePrices</vt:lpstr>
      <vt:lpstr>Database</vt:lpstr>
      <vt:lpstr>Destination</vt:lpstr>
      <vt:lpstr>Multipliers</vt:lpstr>
      <vt:lpstr>Invoice!Print_Area</vt:lpstr>
      <vt:lpstr>Type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Prajwal Kumbhar</cp:lastModifiedBy>
  <dcterms:created xsi:type="dcterms:W3CDTF">2005-07-22T17:57:37Z</dcterms:created>
  <dcterms:modified xsi:type="dcterms:W3CDTF">2026-02-14T20:28:02Z</dcterms:modified>
</cp:coreProperties>
</file>