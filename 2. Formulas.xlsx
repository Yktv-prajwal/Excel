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rajawal\OneDrive\Desktop\ITVedant Excel\"/>
    </mc:Choice>
  </mc:AlternateContent>
  <xr:revisionPtr revIDLastSave="0" documentId="13_ncr:1_{2879378D-EEDC-448A-9D3C-0F8BAB79ECAC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Relative-Absolute referencing" sheetId="1" r:id="rId1"/>
    <sheet name="rel-abs" sheetId="2" r:id="rId2"/>
    <sheet name="rel-abs_1" sheetId="3" r:id="rId3"/>
    <sheet name="Mixed 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D2" i="4"/>
  <c r="E2" i="4"/>
  <c r="F2" i="4"/>
  <c r="G2" i="4"/>
  <c r="H2" i="4"/>
  <c r="I2" i="4"/>
  <c r="J2" i="4"/>
  <c r="K2" i="4"/>
  <c r="B11" i="4"/>
  <c r="B3" i="4"/>
  <c r="B4" i="4"/>
  <c r="B5" i="4"/>
  <c r="B6" i="4"/>
  <c r="B7" i="4"/>
  <c r="B8" i="4"/>
  <c r="B9" i="4"/>
  <c r="B10" i="4"/>
  <c r="B2" i="4"/>
  <c r="C11" i="3"/>
  <c r="C12" i="3"/>
  <c r="C13" i="3"/>
  <c r="C14" i="3"/>
  <c r="C15" i="3"/>
  <c r="C16" i="3"/>
  <c r="C17" i="3"/>
  <c r="C18" i="3"/>
  <c r="C19" i="3"/>
  <c r="C10" i="3"/>
  <c r="J3" i="2"/>
  <c r="J4" i="2"/>
  <c r="J5" i="2"/>
  <c r="J6" i="2"/>
  <c r="J7" i="2"/>
  <c r="J8" i="2"/>
  <c r="J9" i="2"/>
  <c r="J10" i="2"/>
  <c r="J11" i="2"/>
  <c r="J12" i="2"/>
  <c r="I12" i="2"/>
  <c r="I4" i="2"/>
  <c r="I5" i="2"/>
  <c r="I6" i="2"/>
  <c r="I7" i="2"/>
  <c r="I8" i="2"/>
  <c r="I9" i="2"/>
  <c r="I10" i="2"/>
  <c r="I11" i="2"/>
  <c r="I3" i="2"/>
  <c r="H4" i="2"/>
  <c r="H5" i="2"/>
  <c r="H6" i="2"/>
  <c r="H7" i="2"/>
  <c r="H8" i="2"/>
  <c r="H9" i="2"/>
  <c r="H10" i="2"/>
  <c r="H11" i="2"/>
  <c r="H12" i="2"/>
  <c r="H3" i="2"/>
  <c r="G4" i="2"/>
  <c r="G5" i="2"/>
  <c r="G6" i="2"/>
  <c r="G7" i="2"/>
  <c r="G8" i="2"/>
  <c r="G9" i="2"/>
  <c r="G10" i="2"/>
  <c r="G11" i="2"/>
  <c r="G12" i="2"/>
  <c r="G3" i="2"/>
  <c r="F4" i="2"/>
  <c r="F5" i="2"/>
  <c r="F6" i="2"/>
  <c r="F7" i="2"/>
  <c r="F8" i="2"/>
  <c r="F9" i="2"/>
  <c r="F10" i="2"/>
  <c r="F11" i="2"/>
  <c r="F12" i="2"/>
  <c r="F3" i="2"/>
  <c r="D4" i="2"/>
  <c r="D5" i="2"/>
  <c r="D6" i="2"/>
  <c r="D7" i="2"/>
  <c r="D8" i="2"/>
  <c r="D9" i="2"/>
  <c r="D10" i="2"/>
  <c r="D11" i="2"/>
  <c r="D12" i="2"/>
  <c r="D3" i="2"/>
  <c r="C4" i="2"/>
  <c r="C5" i="2"/>
  <c r="C6" i="2"/>
  <c r="C7" i="2"/>
  <c r="C8" i="2"/>
  <c r="C9" i="2"/>
  <c r="C10" i="2"/>
  <c r="C11" i="2"/>
  <c r="C12" i="2"/>
  <c r="C3" i="2"/>
  <c r="E11" i="1"/>
  <c r="F11" i="1" s="1"/>
  <c r="F10" i="1"/>
  <c r="F2" i="1"/>
  <c r="E3" i="1"/>
  <c r="E4" i="1"/>
  <c r="E5" i="1"/>
  <c r="E6" i="1"/>
  <c r="E7" i="1"/>
  <c r="E8" i="1"/>
  <c r="E9" i="1"/>
  <c r="E10" i="1"/>
  <c r="E2" i="1"/>
  <c r="D3" i="1"/>
  <c r="D4" i="1"/>
  <c r="D5" i="1"/>
  <c r="D6" i="1"/>
  <c r="D7" i="1"/>
  <c r="D8" i="1"/>
  <c r="D9" i="1"/>
  <c r="D10" i="1"/>
  <c r="D11" i="1"/>
  <c r="D2" i="1"/>
  <c r="C3" i="1"/>
  <c r="F3" i="1" s="1"/>
  <c r="C4" i="1"/>
  <c r="F4" i="1" s="1"/>
  <c r="C5" i="1"/>
  <c r="F5" i="1" s="1"/>
  <c r="C6" i="1"/>
  <c r="F6" i="1" s="1"/>
  <c r="C7" i="1"/>
  <c r="F7" i="1" s="1"/>
  <c r="C8" i="1"/>
  <c r="F8" i="1" s="1"/>
  <c r="C9" i="1"/>
  <c r="F9" i="1" s="1"/>
  <c r="C10" i="1"/>
  <c r="C11" i="1"/>
  <c r="C2" i="1"/>
</calcChain>
</file>

<file path=xl/sharedStrings.xml><?xml version="1.0" encoding="utf-8"?>
<sst xmlns="http://schemas.openxmlformats.org/spreadsheetml/2006/main" count="70" uniqueCount="56">
  <si>
    <t>Satvika</t>
  </si>
  <si>
    <t>Employee Name</t>
  </si>
  <si>
    <t>Basic Salary</t>
  </si>
  <si>
    <t>DA</t>
  </si>
  <si>
    <t>HRA</t>
  </si>
  <si>
    <t>TA</t>
  </si>
  <si>
    <t>Total Salary</t>
  </si>
  <si>
    <t>EmployeePF</t>
  </si>
  <si>
    <t>Net Salary</t>
  </si>
  <si>
    <t>Jinal</t>
  </si>
  <si>
    <t>Hiren</t>
  </si>
  <si>
    <t>Mohan</t>
  </si>
  <si>
    <t>Parab</t>
  </si>
  <si>
    <t>Afif</t>
  </si>
  <si>
    <t>Deepak</t>
  </si>
  <si>
    <t>Umesh</t>
  </si>
  <si>
    <t>Sonal</t>
  </si>
  <si>
    <t>Sonali</t>
  </si>
  <si>
    <t>Daily Allowance</t>
  </si>
  <si>
    <t>House Rent Allowance</t>
  </si>
  <si>
    <t>Travelling Allowance</t>
  </si>
  <si>
    <t>PF</t>
  </si>
  <si>
    <t>Provident Fund</t>
  </si>
  <si>
    <t>Addition of All the parts</t>
  </si>
  <si>
    <t>Per Month NS</t>
  </si>
  <si>
    <t>Model Name</t>
  </si>
  <si>
    <t>Making Price</t>
  </si>
  <si>
    <t>Spare Parts Cost</t>
  </si>
  <si>
    <t>Maintenance Cost</t>
  </si>
  <si>
    <t>Fixed Cost</t>
  </si>
  <si>
    <t>Total Cost</t>
  </si>
  <si>
    <t>Selling Price</t>
  </si>
  <si>
    <t>GST</t>
  </si>
  <si>
    <t>CGST</t>
  </si>
  <si>
    <t>SGST</t>
  </si>
  <si>
    <t>FSP</t>
  </si>
  <si>
    <t>Maruti</t>
  </si>
  <si>
    <t>Tata Nano</t>
  </si>
  <si>
    <t>Wagon R</t>
  </si>
  <si>
    <t>Omni</t>
  </si>
  <si>
    <t>Toyota</t>
  </si>
  <si>
    <t>Hyundai</t>
  </si>
  <si>
    <t>SUV 7</t>
  </si>
  <si>
    <t>Jeep</t>
  </si>
  <si>
    <t>FORD</t>
  </si>
  <si>
    <t>BMW</t>
  </si>
  <si>
    <t>Bank</t>
  </si>
  <si>
    <t>SBI</t>
  </si>
  <si>
    <t>Fixed Interest</t>
  </si>
  <si>
    <t>Name of the Customers</t>
  </si>
  <si>
    <t>Amount</t>
  </si>
  <si>
    <t>Interest</t>
  </si>
  <si>
    <t>Add all cost</t>
  </si>
  <si>
    <t>g3+h3</t>
  </si>
  <si>
    <t>gst/2</t>
  </si>
  <si>
    <t>Shraddha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</si>
</sst>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0" borderId="0" xfId="0" applyFont="1" applyAlignment="1">
      <alignment vertical="center"/>
    </xf>
    <xf numFmtId="9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H6" sqref="H6"/>
    </sheetView>
  </sheetViews>
  <sheetFormatPr defaultRowHeight="14.4" x14ac:dyDescent="0.3"/>
  <cols>
    <col min="1" max="1" width="16.88671875" customWidth="1"/>
    <col min="2" max="2" width="23.88671875" customWidth="1"/>
    <col min="3" max="9" width="16" customWidth="1"/>
  </cols>
  <sheetData>
    <row r="1" spans="1:9" ht="22.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24</v>
      </c>
    </row>
    <row r="2" spans="1:9" x14ac:dyDescent="0.3">
      <c r="A2" t="s">
        <v>55</v>
      </c>
      <c r="B2" s="2">
        <v>750000</v>
      </c>
      <c r="C2" s="2">
        <f>B2*$C$15</f>
        <v>67500</v>
      </c>
      <c r="D2" s="2">
        <f>B2*$C$16</f>
        <v>52500.000000000007</v>
      </c>
      <c r="E2" s="2">
        <f>B3*$C$17</f>
        <v>22500</v>
      </c>
      <c r="F2" s="2">
        <f>SUM(B2:E2)</f>
        <v>892500</v>
      </c>
      <c r="G2" s="2"/>
      <c r="H2" s="2"/>
      <c r="I2" s="2"/>
    </row>
    <row r="3" spans="1:9" x14ac:dyDescent="0.3">
      <c r="A3" t="s">
        <v>9</v>
      </c>
      <c r="B3" s="2">
        <v>450000</v>
      </c>
      <c r="C3" s="2">
        <f t="shared" ref="C3:C11" si="0">B3*$C$15</f>
        <v>40500</v>
      </c>
      <c r="D3" s="2">
        <f t="shared" ref="D3:D11" si="1">B3*$C$16</f>
        <v>31500.000000000004</v>
      </c>
      <c r="E3" s="2">
        <f t="shared" ref="E3:E10" si="2">B4*$C$17</f>
        <v>25000</v>
      </c>
      <c r="F3" s="2">
        <f t="shared" ref="F3:F11" si="3">SUM(B3:E3)</f>
        <v>547000</v>
      </c>
      <c r="G3" s="2"/>
      <c r="H3" s="2"/>
      <c r="I3" s="2"/>
    </row>
    <row r="4" spans="1:9" x14ac:dyDescent="0.3">
      <c r="A4" t="s">
        <v>10</v>
      </c>
      <c r="B4" s="2">
        <v>500000</v>
      </c>
      <c r="C4" s="2">
        <f t="shared" si="0"/>
        <v>45000</v>
      </c>
      <c r="D4" s="2">
        <f t="shared" si="1"/>
        <v>35000</v>
      </c>
      <c r="E4" s="2">
        <f t="shared" si="2"/>
        <v>27500</v>
      </c>
      <c r="F4" s="2">
        <f t="shared" si="3"/>
        <v>607500</v>
      </c>
      <c r="G4" s="2"/>
      <c r="H4" s="2"/>
      <c r="I4" s="2"/>
    </row>
    <row r="5" spans="1:9" x14ac:dyDescent="0.3">
      <c r="A5" t="s">
        <v>11</v>
      </c>
      <c r="B5" s="2">
        <v>550000</v>
      </c>
      <c r="C5" s="2">
        <f t="shared" si="0"/>
        <v>49500</v>
      </c>
      <c r="D5" s="2">
        <f t="shared" si="1"/>
        <v>38500.000000000007</v>
      </c>
      <c r="E5" s="2">
        <f t="shared" si="2"/>
        <v>17500</v>
      </c>
      <c r="F5" s="2">
        <f t="shared" si="3"/>
        <v>655500</v>
      </c>
      <c r="G5" s="2"/>
      <c r="H5" s="2"/>
      <c r="I5" s="2"/>
    </row>
    <row r="6" spans="1:9" x14ac:dyDescent="0.3">
      <c r="A6" t="s">
        <v>12</v>
      </c>
      <c r="B6" s="2">
        <v>350000</v>
      </c>
      <c r="C6" s="2">
        <f t="shared" si="0"/>
        <v>31500</v>
      </c>
      <c r="D6" s="2">
        <f t="shared" si="1"/>
        <v>24500.000000000004</v>
      </c>
      <c r="E6" s="2">
        <f t="shared" si="2"/>
        <v>12500</v>
      </c>
      <c r="F6" s="2">
        <f t="shared" si="3"/>
        <v>418500</v>
      </c>
      <c r="G6" s="2"/>
      <c r="H6" s="2"/>
      <c r="I6" s="2"/>
    </row>
    <row r="7" spans="1:9" x14ac:dyDescent="0.3">
      <c r="A7" t="s">
        <v>13</v>
      </c>
      <c r="B7" s="2">
        <v>250000</v>
      </c>
      <c r="C7" s="2">
        <f t="shared" si="0"/>
        <v>22500</v>
      </c>
      <c r="D7" s="2">
        <f t="shared" si="1"/>
        <v>17500</v>
      </c>
      <c r="E7" s="2">
        <f t="shared" si="2"/>
        <v>10000</v>
      </c>
      <c r="F7" s="2">
        <f t="shared" si="3"/>
        <v>300000</v>
      </c>
      <c r="G7" s="2"/>
      <c r="H7" s="2"/>
      <c r="I7" s="2"/>
    </row>
    <row r="8" spans="1:9" x14ac:dyDescent="0.3">
      <c r="A8" t="s">
        <v>14</v>
      </c>
      <c r="B8" s="2">
        <v>200000</v>
      </c>
      <c r="C8" s="2">
        <f t="shared" si="0"/>
        <v>18000</v>
      </c>
      <c r="D8" s="2">
        <f t="shared" si="1"/>
        <v>14000.000000000002</v>
      </c>
      <c r="E8" s="2">
        <f t="shared" si="2"/>
        <v>7500</v>
      </c>
      <c r="F8" s="2">
        <f t="shared" si="3"/>
        <v>239500</v>
      </c>
      <c r="G8" s="2"/>
      <c r="H8" s="2"/>
      <c r="I8" s="2"/>
    </row>
    <row r="9" spans="1:9" x14ac:dyDescent="0.3">
      <c r="A9" t="s">
        <v>15</v>
      </c>
      <c r="B9" s="2">
        <v>150000</v>
      </c>
      <c r="C9" s="2">
        <f t="shared" si="0"/>
        <v>13500</v>
      </c>
      <c r="D9" s="2">
        <f t="shared" si="1"/>
        <v>10500.000000000002</v>
      </c>
      <c r="E9" s="2">
        <f t="shared" si="2"/>
        <v>26250</v>
      </c>
      <c r="F9" s="2">
        <f t="shared" si="3"/>
        <v>200250</v>
      </c>
      <c r="G9" s="2"/>
      <c r="H9" s="2"/>
      <c r="I9" s="2"/>
    </row>
    <row r="10" spans="1:9" x14ac:dyDescent="0.3">
      <c r="A10" t="s">
        <v>16</v>
      </c>
      <c r="B10" s="2">
        <v>525000</v>
      </c>
      <c r="C10" s="2">
        <f t="shared" si="0"/>
        <v>47250</v>
      </c>
      <c r="D10" s="2">
        <f t="shared" si="1"/>
        <v>36750</v>
      </c>
      <c r="E10" s="2">
        <f t="shared" si="2"/>
        <v>16250</v>
      </c>
      <c r="F10" s="2">
        <f t="shared" si="3"/>
        <v>625250</v>
      </c>
      <c r="G10" s="2"/>
      <c r="H10" s="2"/>
      <c r="I10" s="2"/>
    </row>
    <row r="11" spans="1:9" x14ac:dyDescent="0.3">
      <c r="A11" t="s">
        <v>17</v>
      </c>
      <c r="B11" s="2">
        <v>325000</v>
      </c>
      <c r="C11" s="2">
        <f t="shared" si="0"/>
        <v>29250</v>
      </c>
      <c r="D11" s="2">
        <f t="shared" si="1"/>
        <v>22750.000000000004</v>
      </c>
      <c r="E11" s="2">
        <f>B11*C17</f>
        <v>16250</v>
      </c>
      <c r="F11" s="2">
        <f t="shared" si="3"/>
        <v>393250</v>
      </c>
      <c r="G11" s="2"/>
      <c r="H11" s="2"/>
      <c r="I11" s="2"/>
    </row>
    <row r="15" spans="1:9" x14ac:dyDescent="0.3">
      <c r="A15" t="s">
        <v>3</v>
      </c>
      <c r="B15" t="s">
        <v>18</v>
      </c>
      <c r="C15" s="4">
        <v>0.09</v>
      </c>
    </row>
    <row r="16" spans="1:9" x14ac:dyDescent="0.3">
      <c r="A16" t="s">
        <v>4</v>
      </c>
      <c r="B16" t="s">
        <v>19</v>
      </c>
      <c r="C16" s="4">
        <v>7.0000000000000007E-2</v>
      </c>
    </row>
    <row r="17" spans="1:3" x14ac:dyDescent="0.3">
      <c r="A17" t="s">
        <v>5</v>
      </c>
      <c r="B17" t="s">
        <v>20</v>
      </c>
      <c r="C17" s="4">
        <v>0.05</v>
      </c>
    </row>
    <row r="18" spans="1:3" x14ac:dyDescent="0.3">
      <c r="A18" t="s">
        <v>21</v>
      </c>
      <c r="B18" t="s">
        <v>22</v>
      </c>
      <c r="C18" s="4">
        <v>0.06</v>
      </c>
    </row>
    <row r="19" spans="1:3" x14ac:dyDescent="0.3">
      <c r="A19" t="s">
        <v>6</v>
      </c>
      <c r="B1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K3" sqref="K3"/>
    </sheetView>
  </sheetViews>
  <sheetFormatPr defaultRowHeight="14.4" x14ac:dyDescent="0.3"/>
  <cols>
    <col min="1" max="6" width="16.44140625" customWidth="1"/>
    <col min="7" max="7" width="21.44140625" bestFit="1" customWidth="1"/>
    <col min="8" max="17" width="16.44140625" customWidth="1"/>
  </cols>
  <sheetData>
    <row r="1" spans="1:11" x14ac:dyDescent="0.3">
      <c r="C1" s="4">
        <v>0.5</v>
      </c>
      <c r="D1" s="4">
        <v>0.2</v>
      </c>
      <c r="E1">
        <v>50000</v>
      </c>
      <c r="F1" t="s">
        <v>52</v>
      </c>
      <c r="G1" s="4">
        <v>0.2</v>
      </c>
      <c r="H1" s="4">
        <v>0.18</v>
      </c>
      <c r="I1" t="s">
        <v>54</v>
      </c>
      <c r="J1" t="s">
        <v>54</v>
      </c>
      <c r="K1" t="s">
        <v>53</v>
      </c>
    </row>
    <row r="2" spans="1:11" ht="24" customHeight="1" x14ac:dyDescent="0.3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</row>
    <row r="3" spans="1:11" x14ac:dyDescent="0.3">
      <c r="A3" t="s">
        <v>36</v>
      </c>
      <c r="B3" s="5">
        <v>1000000</v>
      </c>
      <c r="C3" s="5">
        <f>B3*$C$1</f>
        <v>500000</v>
      </c>
      <c r="D3" s="5">
        <f>B3*$D$1</f>
        <v>200000</v>
      </c>
      <c r="E3">
        <v>50000</v>
      </c>
      <c r="F3" s="5">
        <f>SUM(B3:E3)</f>
        <v>1750000</v>
      </c>
      <c r="G3" s="5">
        <f>F3+$G$1</f>
        <v>1750000.2</v>
      </c>
      <c r="H3" s="5">
        <f>G3+$H$1</f>
        <v>1750000.38</v>
      </c>
      <c r="I3" s="5">
        <f>H3/2</f>
        <v>875000.19</v>
      </c>
      <c r="J3" s="5">
        <f>I3/2</f>
        <v>437500.09499999997</v>
      </c>
      <c r="K3" s="5"/>
    </row>
    <row r="4" spans="1:11" x14ac:dyDescent="0.3">
      <c r="A4" t="s">
        <v>37</v>
      </c>
      <c r="B4" s="5">
        <v>500000</v>
      </c>
      <c r="C4" s="5">
        <f t="shared" ref="C4:C12" si="0">B4*$C$1</f>
        <v>250000</v>
      </c>
      <c r="D4" s="5">
        <f t="shared" ref="D4:D12" si="1">B4*$D$1</f>
        <v>100000</v>
      </c>
      <c r="E4">
        <v>50000</v>
      </c>
      <c r="F4" s="5">
        <f t="shared" ref="F4:F12" si="2">SUM(B4:E4)</f>
        <v>900000</v>
      </c>
      <c r="G4" s="5">
        <f t="shared" ref="G4:G12" si="3">F4+$G$1</f>
        <v>900000.2</v>
      </c>
      <c r="H4" s="5">
        <f t="shared" ref="H4:H12" si="4">G4+$H$1</f>
        <v>900000.38</v>
      </c>
      <c r="I4" s="5">
        <f t="shared" ref="I4:J11" si="5">H4/2</f>
        <v>450000.19</v>
      </c>
      <c r="J4" s="5">
        <f t="shared" si="5"/>
        <v>225000.095</v>
      </c>
      <c r="K4" s="5"/>
    </row>
    <row r="5" spans="1:11" x14ac:dyDescent="0.3">
      <c r="A5" t="s">
        <v>38</v>
      </c>
      <c r="B5" s="5">
        <v>600000</v>
      </c>
      <c r="C5" s="5">
        <f t="shared" si="0"/>
        <v>300000</v>
      </c>
      <c r="D5" s="5">
        <f t="shared" si="1"/>
        <v>120000</v>
      </c>
      <c r="E5">
        <v>50000</v>
      </c>
      <c r="F5" s="5">
        <f t="shared" si="2"/>
        <v>1070000</v>
      </c>
      <c r="G5" s="5">
        <f t="shared" si="3"/>
        <v>1070000.2</v>
      </c>
      <c r="H5" s="5">
        <f t="shared" si="4"/>
        <v>1070000.3799999999</v>
      </c>
      <c r="I5" s="5">
        <f t="shared" si="5"/>
        <v>535000.18999999994</v>
      </c>
      <c r="J5" s="5">
        <f t="shared" si="5"/>
        <v>267500.09499999997</v>
      </c>
      <c r="K5" s="5"/>
    </row>
    <row r="6" spans="1:11" x14ac:dyDescent="0.3">
      <c r="A6" t="s">
        <v>39</v>
      </c>
      <c r="B6" s="5">
        <v>550000</v>
      </c>
      <c r="C6" s="5">
        <f t="shared" si="0"/>
        <v>275000</v>
      </c>
      <c r="D6" s="5">
        <f t="shared" si="1"/>
        <v>110000</v>
      </c>
      <c r="E6">
        <v>50000</v>
      </c>
      <c r="F6" s="5">
        <f t="shared" si="2"/>
        <v>985000</v>
      </c>
      <c r="G6" s="5">
        <f t="shared" si="3"/>
        <v>985000.2</v>
      </c>
      <c r="H6" s="5">
        <f t="shared" si="4"/>
        <v>985000.38</v>
      </c>
      <c r="I6" s="5">
        <f t="shared" si="5"/>
        <v>492500.19</v>
      </c>
      <c r="J6" s="5">
        <f t="shared" si="5"/>
        <v>246250.095</v>
      </c>
      <c r="K6" s="5"/>
    </row>
    <row r="7" spans="1:11" x14ac:dyDescent="0.3">
      <c r="A7" t="s">
        <v>40</v>
      </c>
      <c r="B7" s="5">
        <v>750000</v>
      </c>
      <c r="C7" s="5">
        <f t="shared" si="0"/>
        <v>375000</v>
      </c>
      <c r="D7" s="5">
        <f t="shared" si="1"/>
        <v>150000</v>
      </c>
      <c r="E7">
        <v>50000</v>
      </c>
      <c r="F7" s="5">
        <f t="shared" si="2"/>
        <v>1325000</v>
      </c>
      <c r="G7" s="5">
        <f t="shared" si="3"/>
        <v>1325000.2</v>
      </c>
      <c r="H7" s="5">
        <f t="shared" si="4"/>
        <v>1325000.3799999999</v>
      </c>
      <c r="I7" s="5">
        <f t="shared" si="5"/>
        <v>662500.18999999994</v>
      </c>
      <c r="J7" s="5">
        <f t="shared" si="5"/>
        <v>331250.09499999997</v>
      </c>
      <c r="K7" s="5"/>
    </row>
    <row r="8" spans="1:11" x14ac:dyDescent="0.3">
      <c r="A8" t="s">
        <v>41</v>
      </c>
      <c r="B8" s="5">
        <v>800000</v>
      </c>
      <c r="C8" s="5">
        <f t="shared" si="0"/>
        <v>400000</v>
      </c>
      <c r="D8" s="5">
        <f t="shared" si="1"/>
        <v>160000</v>
      </c>
      <c r="E8">
        <v>50000</v>
      </c>
      <c r="F8" s="5">
        <f t="shared" si="2"/>
        <v>1410000</v>
      </c>
      <c r="G8" s="5">
        <f t="shared" si="3"/>
        <v>1410000.2</v>
      </c>
      <c r="H8" s="5">
        <f t="shared" si="4"/>
        <v>1410000.38</v>
      </c>
      <c r="I8" s="5">
        <f t="shared" si="5"/>
        <v>705000.19</v>
      </c>
      <c r="J8" s="5">
        <f t="shared" si="5"/>
        <v>352500.09499999997</v>
      </c>
      <c r="K8" s="5"/>
    </row>
    <row r="9" spans="1:11" x14ac:dyDescent="0.3">
      <c r="A9" t="s">
        <v>42</v>
      </c>
      <c r="B9" s="5">
        <v>725000</v>
      </c>
      <c r="C9" s="5">
        <f t="shared" si="0"/>
        <v>362500</v>
      </c>
      <c r="D9" s="5">
        <f t="shared" si="1"/>
        <v>145000</v>
      </c>
      <c r="E9">
        <v>50000</v>
      </c>
      <c r="F9" s="5">
        <f t="shared" si="2"/>
        <v>1282500</v>
      </c>
      <c r="G9" s="5">
        <f t="shared" si="3"/>
        <v>1282500.2</v>
      </c>
      <c r="H9" s="5">
        <f t="shared" si="4"/>
        <v>1282500.3799999999</v>
      </c>
      <c r="I9" s="5">
        <f t="shared" si="5"/>
        <v>641250.18999999994</v>
      </c>
      <c r="J9" s="5">
        <f t="shared" si="5"/>
        <v>320625.09499999997</v>
      </c>
      <c r="K9" s="5"/>
    </row>
    <row r="10" spans="1:11" x14ac:dyDescent="0.3">
      <c r="A10" t="s">
        <v>43</v>
      </c>
      <c r="B10" s="5">
        <v>1500000</v>
      </c>
      <c r="C10" s="5">
        <f t="shared" si="0"/>
        <v>750000</v>
      </c>
      <c r="D10" s="5">
        <f t="shared" si="1"/>
        <v>300000</v>
      </c>
      <c r="E10">
        <v>50000</v>
      </c>
      <c r="F10" s="5">
        <f t="shared" si="2"/>
        <v>2600000</v>
      </c>
      <c r="G10" s="5">
        <f t="shared" si="3"/>
        <v>2600000.2000000002</v>
      </c>
      <c r="H10" s="5">
        <f t="shared" si="4"/>
        <v>2600000.3800000004</v>
      </c>
      <c r="I10" s="5">
        <f t="shared" si="5"/>
        <v>1300000.1900000002</v>
      </c>
      <c r="J10" s="5">
        <f t="shared" si="5"/>
        <v>650000.09500000009</v>
      </c>
      <c r="K10" s="5"/>
    </row>
    <row r="11" spans="1:11" x14ac:dyDescent="0.3">
      <c r="A11" t="s">
        <v>44</v>
      </c>
      <c r="B11" s="5">
        <v>1600000</v>
      </c>
      <c r="C11" s="5">
        <f t="shared" si="0"/>
        <v>800000</v>
      </c>
      <c r="D11" s="5">
        <f t="shared" si="1"/>
        <v>320000</v>
      </c>
      <c r="E11">
        <v>50000</v>
      </c>
      <c r="F11" s="5">
        <f t="shared" si="2"/>
        <v>2770000</v>
      </c>
      <c r="G11" s="5">
        <f t="shared" si="3"/>
        <v>2770000.2</v>
      </c>
      <c r="H11" s="5">
        <f t="shared" si="4"/>
        <v>2770000.3800000004</v>
      </c>
      <c r="I11" s="5">
        <f t="shared" si="5"/>
        <v>1385000.1900000002</v>
      </c>
      <c r="J11" s="5">
        <f t="shared" si="5"/>
        <v>692500.09500000009</v>
      </c>
      <c r="K11" s="5"/>
    </row>
    <row r="12" spans="1:11" x14ac:dyDescent="0.3">
      <c r="A12" t="s">
        <v>45</v>
      </c>
      <c r="B12" s="5">
        <v>7500000</v>
      </c>
      <c r="C12" s="5">
        <f t="shared" si="0"/>
        <v>3750000</v>
      </c>
      <c r="D12" s="5">
        <f t="shared" si="1"/>
        <v>1500000</v>
      </c>
      <c r="E12">
        <v>50000</v>
      </c>
      <c r="F12" s="5">
        <f t="shared" si="2"/>
        <v>12800000</v>
      </c>
      <c r="G12" s="5">
        <f t="shared" si="3"/>
        <v>12800000.199999999</v>
      </c>
      <c r="H12" s="5">
        <f t="shared" si="4"/>
        <v>12800000.379999999</v>
      </c>
      <c r="I12" s="5">
        <f>H12/2</f>
        <v>6400000.1899999995</v>
      </c>
      <c r="J12" s="5">
        <f>I12/2</f>
        <v>3200000.0949999997</v>
      </c>
      <c r="K1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9"/>
  <sheetViews>
    <sheetView workbookViewId="0">
      <selection activeCell="F15" sqref="F15"/>
    </sheetView>
  </sheetViews>
  <sheetFormatPr defaultRowHeight="14.4" x14ac:dyDescent="0.3"/>
  <cols>
    <col min="1" max="1" width="29.109375" customWidth="1"/>
    <col min="2" max="2" width="17.44140625" customWidth="1"/>
    <col min="3" max="3" width="20.6640625" customWidth="1"/>
  </cols>
  <sheetData>
    <row r="2" spans="1:3" x14ac:dyDescent="0.3">
      <c r="A2" t="s">
        <v>46</v>
      </c>
      <c r="B2" t="s">
        <v>47</v>
      </c>
    </row>
    <row r="3" spans="1:3" x14ac:dyDescent="0.3">
      <c r="A3" t="s">
        <v>48</v>
      </c>
      <c r="B3" s="4">
        <v>0.08</v>
      </c>
    </row>
    <row r="9" spans="1:3" x14ac:dyDescent="0.3">
      <c r="A9" t="s">
        <v>49</v>
      </c>
      <c r="B9" t="s">
        <v>50</v>
      </c>
      <c r="C9" t="s">
        <v>51</v>
      </c>
    </row>
    <row r="10" spans="1:3" x14ac:dyDescent="0.3">
      <c r="A10" t="s">
        <v>0</v>
      </c>
      <c r="B10" s="2">
        <v>750000</v>
      </c>
      <c r="C10" s="2">
        <f>B10+$B$3</f>
        <v>750000.08</v>
      </c>
    </row>
    <row r="11" spans="1:3" x14ac:dyDescent="0.3">
      <c r="A11" t="s">
        <v>9</v>
      </c>
      <c r="B11" s="2">
        <v>450000</v>
      </c>
      <c r="C11" s="2">
        <f t="shared" ref="C11:C19" si="0">B11+$B$3</f>
        <v>450000.08</v>
      </c>
    </row>
    <row r="12" spans="1:3" x14ac:dyDescent="0.3">
      <c r="A12" t="s">
        <v>10</v>
      </c>
      <c r="B12" s="2">
        <v>500000</v>
      </c>
      <c r="C12" s="2">
        <f t="shared" si="0"/>
        <v>500000.08</v>
      </c>
    </row>
    <row r="13" spans="1:3" x14ac:dyDescent="0.3">
      <c r="A13" t="s">
        <v>11</v>
      </c>
      <c r="B13" s="2">
        <v>550000</v>
      </c>
      <c r="C13" s="2">
        <f t="shared" si="0"/>
        <v>550000.07999999996</v>
      </c>
    </row>
    <row r="14" spans="1:3" x14ac:dyDescent="0.3">
      <c r="A14" t="s">
        <v>12</v>
      </c>
      <c r="B14" s="2">
        <v>350000</v>
      </c>
      <c r="C14" s="2">
        <f t="shared" si="0"/>
        <v>350000.08</v>
      </c>
    </row>
    <row r="15" spans="1:3" x14ac:dyDescent="0.3">
      <c r="A15" t="s">
        <v>13</v>
      </c>
      <c r="B15" s="2">
        <v>250000</v>
      </c>
      <c r="C15" s="2">
        <f t="shared" si="0"/>
        <v>250000.08</v>
      </c>
    </row>
    <row r="16" spans="1:3" x14ac:dyDescent="0.3">
      <c r="A16" t="s">
        <v>14</v>
      </c>
      <c r="B16" s="2">
        <v>200000</v>
      </c>
      <c r="C16" s="2">
        <f t="shared" si="0"/>
        <v>200000.08</v>
      </c>
    </row>
    <row r="17" spans="1:3" x14ac:dyDescent="0.3">
      <c r="A17" t="s">
        <v>15</v>
      </c>
      <c r="B17" s="2">
        <v>150000</v>
      </c>
      <c r="C17" s="2">
        <f t="shared" si="0"/>
        <v>150000.07999999999</v>
      </c>
    </row>
    <row r="18" spans="1:3" x14ac:dyDescent="0.3">
      <c r="A18" t="s">
        <v>16</v>
      </c>
      <c r="B18" s="2">
        <v>525000</v>
      </c>
      <c r="C18" s="2">
        <f t="shared" si="0"/>
        <v>525000.07999999996</v>
      </c>
    </row>
    <row r="19" spans="1:3" x14ac:dyDescent="0.3">
      <c r="A19" t="s">
        <v>17</v>
      </c>
      <c r="B19" s="2">
        <v>325000</v>
      </c>
      <c r="C19" s="2">
        <f t="shared" si="0"/>
        <v>325000.08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tabSelected="1" workbookViewId="0">
      <selection activeCell="H9" sqref="H9"/>
    </sheetView>
  </sheetViews>
  <sheetFormatPr defaultRowHeight="14.4" x14ac:dyDescent="0.3"/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>
        <v>1</v>
      </c>
      <c r="B2">
        <f>A2*B$1</f>
        <v>1</v>
      </c>
      <c r="C2">
        <f>C1*$A2</f>
        <v>2</v>
      </c>
      <c r="D2">
        <f t="shared" ref="D2:K2" si="0">D1*$A2</f>
        <v>3</v>
      </c>
      <c r="E2">
        <f t="shared" si="0"/>
        <v>4</v>
      </c>
      <c r="F2">
        <f t="shared" si="0"/>
        <v>5</v>
      </c>
      <c r="G2">
        <f t="shared" si="0"/>
        <v>6</v>
      </c>
      <c r="H2">
        <f t="shared" si="0"/>
        <v>7</v>
      </c>
      <c r="I2">
        <f t="shared" si="0"/>
        <v>8</v>
      </c>
      <c r="J2">
        <f t="shared" si="0"/>
        <v>9</v>
      </c>
      <c r="K2">
        <f t="shared" si="0"/>
        <v>10</v>
      </c>
    </row>
    <row r="3" spans="1:11" x14ac:dyDescent="0.3">
      <c r="A3">
        <v>2</v>
      </c>
      <c r="B3">
        <f t="shared" ref="B3:B10" si="1">A3*B$1</f>
        <v>2</v>
      </c>
    </row>
    <row r="4" spans="1:11" x14ac:dyDescent="0.3">
      <c r="A4">
        <v>3</v>
      </c>
      <c r="B4">
        <f t="shared" si="1"/>
        <v>3</v>
      </c>
    </row>
    <row r="5" spans="1:11" x14ac:dyDescent="0.3">
      <c r="A5">
        <v>4</v>
      </c>
      <c r="B5">
        <f t="shared" si="1"/>
        <v>4</v>
      </c>
    </row>
    <row r="6" spans="1:11" x14ac:dyDescent="0.3">
      <c r="A6">
        <v>5</v>
      </c>
      <c r="B6">
        <f t="shared" si="1"/>
        <v>5</v>
      </c>
    </row>
    <row r="7" spans="1:11" x14ac:dyDescent="0.3">
      <c r="A7">
        <v>6</v>
      </c>
      <c r="B7">
        <f t="shared" si="1"/>
        <v>6</v>
      </c>
    </row>
    <row r="8" spans="1:11" x14ac:dyDescent="0.3">
      <c r="A8">
        <v>7</v>
      </c>
      <c r="B8">
        <f t="shared" si="1"/>
        <v>7</v>
      </c>
    </row>
    <row r="9" spans="1:11" x14ac:dyDescent="0.3">
      <c r="A9">
        <v>8</v>
      </c>
      <c r="B9">
        <f t="shared" si="1"/>
        <v>8</v>
      </c>
    </row>
    <row r="10" spans="1:11" x14ac:dyDescent="0.3">
      <c r="A10">
        <v>9</v>
      </c>
      <c r="B10">
        <f t="shared" si="1"/>
        <v>9</v>
      </c>
    </row>
    <row r="11" spans="1:11" x14ac:dyDescent="0.3">
      <c r="A11">
        <v>10</v>
      </c>
      <c r="B11">
        <f>A11*B$1</f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Relative-Absolute referencing</vt:lpstr>
      <vt:lpstr>rel-abs</vt:lpstr>
      <vt:lpstr>rel-abs_1</vt:lpstr>
      <vt:lpstr>Mixed 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Prajwal Kumbhar</cp:lastModifiedBy>
  <dcterms:created xsi:type="dcterms:W3CDTF">2023-04-26T04:38:43Z</dcterms:created>
  <dcterms:modified xsi:type="dcterms:W3CDTF">2026-01-31T10:05:01Z</dcterms:modified>
</cp:coreProperties>
</file>